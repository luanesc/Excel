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  <sheet xmlns:r="http://schemas.openxmlformats.org/officeDocument/2006/relationships" name="Resumo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04040"/>
    </font>
    <font>
      <b val="1"/>
      <color rgb="00FFFFFF"/>
    </font>
    <font>
      <b val="1"/>
    </font>
    <font>
      <b val="1"/>
      <color rgb="0070AD47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1" pivotButton="0" quotePrefix="0" xfId="0"/>
    <xf numFmtId="164" fontId="0" fillId="4" borderId="1" pivotButton="0" quotePrefix="0" xfId="0"/>
    <xf numFmtId="10" fontId="0" fillId="4" borderId="1" pivotButton="0" quotePrefix="0" xfId="0"/>
    <xf numFmtId="1" fontId="0" fillId="4" borderId="1" pivotButton="0" quotePrefix="0" xfId="0"/>
    <xf numFmtId="0" fontId="3" fillId="5" borderId="0" pivotButton="0" quotePrefix="0" xfId="0"/>
    <xf numFmtId="164" fontId="5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do Patrimônio</a:t>
            </a:r>
          </a:p>
        </rich>
      </tx>
    </title>
    <plotArea>
      <lineChart>
        <grouping val="standard"/>
        <ser>
          <idx val="0"/>
          <order val="0"/>
          <tx>
            <strRef>
              <f>'Resumo'!C3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'Resumo'!$A$4:$A$13</f>
            </numRef>
          </cat>
          <val>
            <numRef>
              <f>'Resumo'!$C$4:$C$13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Dividendos Mensais Estimados</a:t>
            </a:r>
          </a:p>
        </rich>
      </tx>
    </title>
    <plotArea>
      <lineChart>
        <grouping val="standard"/>
        <ser>
          <idx val="0"/>
          <order val="0"/>
          <tx>
            <strRef>
              <f>'Resumo'!D3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'Resumo'!$A$4:$A$13</f>
            </numRef>
          </cat>
          <val>
            <numRef>
              <f>'Resumo'!$D$4:$D$13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 / mês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</cols>
  <sheetData>
    <row r="1">
      <c r="A1" s="1" t="inlineStr">
        <is>
          <t>Simulador de Investimentos em Fundos Imobiliários (FIIs)</t>
        </is>
      </c>
    </row>
    <row r="2">
      <c r="A2" s="2" t="inlineStr">
        <is>
          <t>Modelo educacional para simular aportes, patrimônio e dividendos ao longo do tempo.</t>
        </is>
      </c>
    </row>
    <row r="4">
      <c r="A4" s="3" t="inlineStr">
        <is>
          <t>PARÂMETROS DA SIMULAÇÃO</t>
        </is>
      </c>
    </row>
    <row r="5">
      <c r="A5" s="4" t="inlineStr">
        <is>
          <t>Investimento inicial</t>
        </is>
      </c>
      <c r="B5" s="5" t="n">
        <v>5000</v>
      </c>
    </row>
    <row r="6">
      <c r="A6" s="4" t="inlineStr">
        <is>
          <t>Aporte mensal</t>
        </is>
      </c>
      <c r="B6" s="5" t="n">
        <v>1000</v>
      </c>
    </row>
    <row r="7">
      <c r="A7" s="4" t="inlineStr">
        <is>
          <t>Dividend yield mensal</t>
        </is>
      </c>
      <c r="B7" s="6" t="n">
        <v>0.008</v>
      </c>
    </row>
    <row r="8">
      <c r="A8" s="4" t="inlineStr">
        <is>
          <t>Valorização anual estimada</t>
        </is>
      </c>
      <c r="B8" s="6" t="n">
        <v>0.05</v>
      </c>
    </row>
    <row r="9">
      <c r="A9" s="4" t="inlineStr">
        <is>
          <t>Prazo (anos)</t>
        </is>
      </c>
      <c r="B9" s="7" t="n">
        <v>10</v>
      </c>
    </row>
    <row r="11">
      <c r="A11" s="8" t="inlineStr">
        <is>
          <t>Indicadores principais</t>
        </is>
      </c>
    </row>
    <row r="12">
      <c r="A12" s="4" t="inlineStr">
        <is>
          <t>Total investido</t>
        </is>
      </c>
      <c r="B12" s="9">
        <f>B5+B6*B9*12</f>
        <v/>
      </c>
    </row>
    <row r="13">
      <c r="A13" s="4" t="inlineStr">
        <is>
          <t>Patrimônio final estimado</t>
        </is>
      </c>
      <c r="B13" s="9">
        <f>INDEX($F$16:$F$135,$B$9*12)</f>
        <v/>
      </c>
    </row>
    <row r="14">
      <c r="A14" s="4" t="inlineStr">
        <is>
          <t>Dividendos mensais no final</t>
        </is>
      </c>
      <c r="B14" s="9">
        <f>INDEX($G$16:$G$135,$B$9*12)</f>
        <v/>
      </c>
    </row>
    <row r="16">
      <c r="A16" s="10" t="inlineStr">
        <is>
          <t>Observação</t>
        </is>
      </c>
      <c r="B16" s="11" t="inlineStr">
        <is>
          <t>Os resultados são projeções e não representam garantia de rentabilidade. Dividendos e preços de FIIs variam ao longo do tempo.</t>
        </is>
      </c>
    </row>
    <row r="17"/>
    <row r="19">
      <c r="A19" s="12" t="inlineStr">
        <is>
          <t>Mês</t>
        </is>
      </c>
      <c r="B19" s="12" t="inlineStr">
        <is>
          <t>Ano</t>
        </is>
      </c>
      <c r="C19" s="12" t="inlineStr">
        <is>
          <t>Aporte</t>
        </is>
      </c>
      <c r="D19" s="12" t="inlineStr">
        <is>
          <t>Total investido</t>
        </is>
      </c>
      <c r="E19" s="12" t="inlineStr">
        <is>
          <t>Patrimônio inicial</t>
        </is>
      </c>
      <c r="F19" s="12" t="inlineStr">
        <is>
          <t>Patrimônio final</t>
        </is>
      </c>
      <c r="G19" s="12" t="inlineStr">
        <is>
          <t>Dividendos mensais</t>
        </is>
      </c>
      <c r="H19" s="12" t="inlineStr">
        <is>
          <t>Dividendos acumulados</t>
        </is>
      </c>
    </row>
    <row r="20">
      <c r="A20" s="13" t="n">
        <v>1</v>
      </c>
      <c r="B20" s="13">
        <f>ROUND(A20/12,0)</f>
        <v/>
      </c>
      <c r="C20" s="14">
        <f>IF(A20&lt;=$B$9*12,$B$6,0)</f>
        <v/>
      </c>
      <c r="D20" s="14">
        <f>IF(A20=1,$B$5+C20,D19+C20)</f>
        <v/>
      </c>
      <c r="E20" s="14">
        <f>IF(A20=1,$B$5,F19)</f>
        <v/>
      </c>
      <c r="F20" s="14">
        <f>IF(A20&lt;=$B$9*12,E20*(1+$B$8)^(1/12)+C20,0)</f>
        <v/>
      </c>
      <c r="G20" s="14">
        <f>IF(A20&lt;=$B$9*12,F20*$B$7,0)</f>
        <v/>
      </c>
      <c r="H20" s="14">
        <f>IF(A20=1,G20,H19+G20)</f>
        <v/>
      </c>
    </row>
    <row r="21">
      <c r="A21" s="13" t="n">
        <v>2</v>
      </c>
      <c r="B21" s="13">
        <f>ROUND(A21/12,0)</f>
        <v/>
      </c>
      <c r="C21" s="14">
        <f>IF(A21&lt;=$B$9*12,$B$6,0)</f>
        <v/>
      </c>
      <c r="D21" s="14">
        <f>IF(A21=1,$B$5+C21,D20+C21)</f>
        <v/>
      </c>
      <c r="E21" s="14">
        <f>IF(A21=1,$B$5,F20)</f>
        <v/>
      </c>
      <c r="F21" s="14">
        <f>IF(A21&lt;=$B$9*12,E21*(1+$B$8)^(1/12)+C21,0)</f>
        <v/>
      </c>
      <c r="G21" s="14">
        <f>IF(A21&lt;=$B$9*12,F21*$B$7,0)</f>
        <v/>
      </c>
      <c r="H21" s="14">
        <f>IF(A21=1,G21,H20+G21)</f>
        <v/>
      </c>
    </row>
    <row r="22">
      <c r="A22" s="13" t="n">
        <v>3</v>
      </c>
      <c r="B22" s="13">
        <f>ROUND(A22/12,0)</f>
        <v/>
      </c>
      <c r="C22" s="14">
        <f>IF(A22&lt;=$B$9*12,$B$6,0)</f>
        <v/>
      </c>
      <c r="D22" s="14">
        <f>IF(A22=1,$B$5+C22,D21+C22)</f>
        <v/>
      </c>
      <c r="E22" s="14">
        <f>IF(A22=1,$B$5,F21)</f>
        <v/>
      </c>
      <c r="F22" s="14">
        <f>IF(A22&lt;=$B$9*12,E22*(1+$B$8)^(1/12)+C22,0)</f>
        <v/>
      </c>
      <c r="G22" s="14">
        <f>IF(A22&lt;=$B$9*12,F22*$B$7,0)</f>
        <v/>
      </c>
      <c r="H22" s="14">
        <f>IF(A22=1,G22,H21+G22)</f>
        <v/>
      </c>
    </row>
    <row r="23">
      <c r="A23" s="13" t="n">
        <v>4</v>
      </c>
      <c r="B23" s="13">
        <f>ROUND(A23/12,0)</f>
        <v/>
      </c>
      <c r="C23" s="14">
        <f>IF(A23&lt;=$B$9*12,$B$6,0)</f>
        <v/>
      </c>
      <c r="D23" s="14">
        <f>IF(A23=1,$B$5+C23,D22+C23)</f>
        <v/>
      </c>
      <c r="E23" s="14">
        <f>IF(A23=1,$B$5,F22)</f>
        <v/>
      </c>
      <c r="F23" s="14">
        <f>IF(A23&lt;=$B$9*12,E23*(1+$B$8)^(1/12)+C23,0)</f>
        <v/>
      </c>
      <c r="G23" s="14">
        <f>IF(A23&lt;=$B$9*12,F23*$B$7,0)</f>
        <v/>
      </c>
      <c r="H23" s="14">
        <f>IF(A23=1,G23,H22+G23)</f>
        <v/>
      </c>
    </row>
    <row r="24">
      <c r="A24" s="13" t="n">
        <v>5</v>
      </c>
      <c r="B24" s="13">
        <f>ROUND(A24/12,0)</f>
        <v/>
      </c>
      <c r="C24" s="14">
        <f>IF(A24&lt;=$B$9*12,$B$6,0)</f>
        <v/>
      </c>
      <c r="D24" s="14">
        <f>IF(A24=1,$B$5+C24,D23+C24)</f>
        <v/>
      </c>
      <c r="E24" s="14">
        <f>IF(A24=1,$B$5,F23)</f>
        <v/>
      </c>
      <c r="F24" s="14">
        <f>IF(A24&lt;=$B$9*12,E24*(1+$B$8)^(1/12)+C24,0)</f>
        <v/>
      </c>
      <c r="G24" s="14">
        <f>IF(A24&lt;=$B$9*12,F24*$B$7,0)</f>
        <v/>
      </c>
      <c r="H24" s="14">
        <f>IF(A24=1,G24,H23+G24)</f>
        <v/>
      </c>
    </row>
    <row r="25">
      <c r="A25" s="13" t="n">
        <v>6</v>
      </c>
      <c r="B25" s="13">
        <f>ROUND(A25/12,0)</f>
        <v/>
      </c>
      <c r="C25" s="14">
        <f>IF(A25&lt;=$B$9*12,$B$6,0)</f>
        <v/>
      </c>
      <c r="D25" s="14">
        <f>IF(A25=1,$B$5+C25,D24+C25)</f>
        <v/>
      </c>
      <c r="E25" s="14">
        <f>IF(A25=1,$B$5,F24)</f>
        <v/>
      </c>
      <c r="F25" s="14">
        <f>IF(A25&lt;=$B$9*12,E25*(1+$B$8)^(1/12)+C25,0)</f>
        <v/>
      </c>
      <c r="G25" s="14">
        <f>IF(A25&lt;=$B$9*12,F25*$B$7,0)</f>
        <v/>
      </c>
      <c r="H25" s="14">
        <f>IF(A25=1,G25,H24+G25)</f>
        <v/>
      </c>
    </row>
    <row r="26">
      <c r="A26" s="13" t="n">
        <v>7</v>
      </c>
      <c r="B26" s="13">
        <f>ROUND(A26/12,0)</f>
        <v/>
      </c>
      <c r="C26" s="14">
        <f>IF(A26&lt;=$B$9*12,$B$6,0)</f>
        <v/>
      </c>
      <c r="D26" s="14">
        <f>IF(A26=1,$B$5+C26,D25+C26)</f>
        <v/>
      </c>
      <c r="E26" s="14">
        <f>IF(A26=1,$B$5,F25)</f>
        <v/>
      </c>
      <c r="F26" s="14">
        <f>IF(A26&lt;=$B$9*12,E26*(1+$B$8)^(1/12)+C26,0)</f>
        <v/>
      </c>
      <c r="G26" s="14">
        <f>IF(A26&lt;=$B$9*12,F26*$B$7,0)</f>
        <v/>
      </c>
      <c r="H26" s="14">
        <f>IF(A26=1,G26,H25+G26)</f>
        <v/>
      </c>
    </row>
    <row r="27">
      <c r="A27" s="13" t="n">
        <v>8</v>
      </c>
      <c r="B27" s="13">
        <f>ROUND(A27/12,0)</f>
        <v/>
      </c>
      <c r="C27" s="14">
        <f>IF(A27&lt;=$B$9*12,$B$6,0)</f>
        <v/>
      </c>
      <c r="D27" s="14">
        <f>IF(A27=1,$B$5+C27,D26+C27)</f>
        <v/>
      </c>
      <c r="E27" s="14">
        <f>IF(A27=1,$B$5,F26)</f>
        <v/>
      </c>
      <c r="F27" s="14">
        <f>IF(A27&lt;=$B$9*12,E27*(1+$B$8)^(1/12)+C27,0)</f>
        <v/>
      </c>
      <c r="G27" s="14">
        <f>IF(A27&lt;=$B$9*12,F27*$B$7,0)</f>
        <v/>
      </c>
      <c r="H27" s="14">
        <f>IF(A27=1,G27,H26+G27)</f>
        <v/>
      </c>
    </row>
    <row r="28">
      <c r="A28" s="13" t="n">
        <v>9</v>
      </c>
      <c r="B28" s="13">
        <f>ROUND(A28/12,0)</f>
        <v/>
      </c>
      <c r="C28" s="14">
        <f>IF(A28&lt;=$B$9*12,$B$6,0)</f>
        <v/>
      </c>
      <c r="D28" s="14">
        <f>IF(A28=1,$B$5+C28,D27+C28)</f>
        <v/>
      </c>
      <c r="E28" s="14">
        <f>IF(A28=1,$B$5,F27)</f>
        <v/>
      </c>
      <c r="F28" s="14">
        <f>IF(A28&lt;=$B$9*12,E28*(1+$B$8)^(1/12)+C28,0)</f>
        <v/>
      </c>
      <c r="G28" s="14">
        <f>IF(A28&lt;=$B$9*12,F28*$B$7,0)</f>
        <v/>
      </c>
      <c r="H28" s="14">
        <f>IF(A28=1,G28,H27+G28)</f>
        <v/>
      </c>
    </row>
    <row r="29">
      <c r="A29" s="13" t="n">
        <v>10</v>
      </c>
      <c r="B29" s="13">
        <f>ROUND(A29/12,0)</f>
        <v/>
      </c>
      <c r="C29" s="14">
        <f>IF(A29&lt;=$B$9*12,$B$6,0)</f>
        <v/>
      </c>
      <c r="D29" s="14">
        <f>IF(A29=1,$B$5+C29,D28+C29)</f>
        <v/>
      </c>
      <c r="E29" s="14">
        <f>IF(A29=1,$B$5,F28)</f>
        <v/>
      </c>
      <c r="F29" s="14">
        <f>IF(A29&lt;=$B$9*12,E29*(1+$B$8)^(1/12)+C29,0)</f>
        <v/>
      </c>
      <c r="G29" s="14">
        <f>IF(A29&lt;=$B$9*12,F29*$B$7,0)</f>
        <v/>
      </c>
      <c r="H29" s="14">
        <f>IF(A29=1,G29,H28+G29)</f>
        <v/>
      </c>
    </row>
    <row r="30">
      <c r="A30" s="13" t="n">
        <v>11</v>
      </c>
      <c r="B30" s="13">
        <f>ROUND(A30/12,0)</f>
        <v/>
      </c>
      <c r="C30" s="14">
        <f>IF(A30&lt;=$B$9*12,$B$6,0)</f>
        <v/>
      </c>
      <c r="D30" s="14">
        <f>IF(A30=1,$B$5+C30,D29+C30)</f>
        <v/>
      </c>
      <c r="E30" s="14">
        <f>IF(A30=1,$B$5,F29)</f>
        <v/>
      </c>
      <c r="F30" s="14">
        <f>IF(A30&lt;=$B$9*12,E30*(1+$B$8)^(1/12)+C30,0)</f>
        <v/>
      </c>
      <c r="G30" s="14">
        <f>IF(A30&lt;=$B$9*12,F30*$B$7,0)</f>
        <v/>
      </c>
      <c r="H30" s="14">
        <f>IF(A30=1,G30,H29+G30)</f>
        <v/>
      </c>
    </row>
    <row r="31">
      <c r="A31" s="13" t="n">
        <v>12</v>
      </c>
      <c r="B31" s="13">
        <f>ROUND(A31/12,0)</f>
        <v/>
      </c>
      <c r="C31" s="14">
        <f>IF(A31&lt;=$B$9*12,$B$6,0)</f>
        <v/>
      </c>
      <c r="D31" s="14">
        <f>IF(A31=1,$B$5+C31,D30+C31)</f>
        <v/>
      </c>
      <c r="E31" s="14">
        <f>IF(A31=1,$B$5,F30)</f>
        <v/>
      </c>
      <c r="F31" s="14">
        <f>IF(A31&lt;=$B$9*12,E31*(1+$B$8)^(1/12)+C31,0)</f>
        <v/>
      </c>
      <c r="G31" s="14">
        <f>IF(A31&lt;=$B$9*12,F31*$B$7,0)</f>
        <v/>
      </c>
      <c r="H31" s="14">
        <f>IF(A31=1,G31,H30+G31)</f>
        <v/>
      </c>
    </row>
    <row r="32">
      <c r="A32" s="13" t="n">
        <v>13</v>
      </c>
      <c r="B32" s="13">
        <f>ROUND(A32/12,0)</f>
        <v/>
      </c>
      <c r="C32" s="14">
        <f>IF(A32&lt;=$B$9*12,$B$6,0)</f>
        <v/>
      </c>
      <c r="D32" s="14">
        <f>IF(A32=1,$B$5+C32,D31+C32)</f>
        <v/>
      </c>
      <c r="E32" s="14">
        <f>IF(A32=1,$B$5,F31)</f>
        <v/>
      </c>
      <c r="F32" s="14">
        <f>IF(A32&lt;=$B$9*12,E32*(1+$B$8)^(1/12)+C32,0)</f>
        <v/>
      </c>
      <c r="G32" s="14">
        <f>IF(A32&lt;=$B$9*12,F32*$B$7,0)</f>
        <v/>
      </c>
      <c r="H32" s="14">
        <f>IF(A32=1,G32,H31+G32)</f>
        <v/>
      </c>
    </row>
    <row r="33">
      <c r="A33" s="13" t="n">
        <v>14</v>
      </c>
      <c r="B33" s="13">
        <f>ROUND(A33/12,0)</f>
        <v/>
      </c>
      <c r="C33" s="14">
        <f>IF(A33&lt;=$B$9*12,$B$6,0)</f>
        <v/>
      </c>
      <c r="D33" s="14">
        <f>IF(A33=1,$B$5+C33,D32+C33)</f>
        <v/>
      </c>
      <c r="E33" s="14">
        <f>IF(A33=1,$B$5,F32)</f>
        <v/>
      </c>
      <c r="F33" s="14">
        <f>IF(A33&lt;=$B$9*12,E33*(1+$B$8)^(1/12)+C33,0)</f>
        <v/>
      </c>
      <c r="G33" s="14">
        <f>IF(A33&lt;=$B$9*12,F33*$B$7,0)</f>
        <v/>
      </c>
      <c r="H33" s="14">
        <f>IF(A33=1,G33,H32+G33)</f>
        <v/>
      </c>
    </row>
    <row r="34">
      <c r="A34" s="13" t="n">
        <v>15</v>
      </c>
      <c r="B34" s="13">
        <f>ROUND(A34/12,0)</f>
        <v/>
      </c>
      <c r="C34" s="14">
        <f>IF(A34&lt;=$B$9*12,$B$6,0)</f>
        <v/>
      </c>
      <c r="D34" s="14">
        <f>IF(A34=1,$B$5+C34,D33+C34)</f>
        <v/>
      </c>
      <c r="E34" s="14">
        <f>IF(A34=1,$B$5,F33)</f>
        <v/>
      </c>
      <c r="F34" s="14">
        <f>IF(A34&lt;=$B$9*12,E34*(1+$B$8)^(1/12)+C34,0)</f>
        <v/>
      </c>
      <c r="G34" s="14">
        <f>IF(A34&lt;=$B$9*12,F34*$B$7,0)</f>
        <v/>
      </c>
      <c r="H34" s="14">
        <f>IF(A34=1,G34,H33+G34)</f>
        <v/>
      </c>
    </row>
    <row r="35">
      <c r="A35" s="13" t="n">
        <v>16</v>
      </c>
      <c r="B35" s="13">
        <f>ROUND(A35/12,0)</f>
        <v/>
      </c>
      <c r="C35" s="14">
        <f>IF(A35&lt;=$B$9*12,$B$6,0)</f>
        <v/>
      </c>
      <c r="D35" s="14">
        <f>IF(A35=1,$B$5+C35,D34+C35)</f>
        <v/>
      </c>
      <c r="E35" s="14">
        <f>IF(A35=1,$B$5,F34)</f>
        <v/>
      </c>
      <c r="F35" s="14">
        <f>IF(A35&lt;=$B$9*12,E35*(1+$B$8)^(1/12)+C35,0)</f>
        <v/>
      </c>
      <c r="G35" s="14">
        <f>IF(A35&lt;=$B$9*12,F35*$B$7,0)</f>
        <v/>
      </c>
      <c r="H35" s="14">
        <f>IF(A35=1,G35,H34+G35)</f>
        <v/>
      </c>
    </row>
    <row r="36">
      <c r="A36" s="13" t="n">
        <v>17</v>
      </c>
      <c r="B36" s="13">
        <f>ROUND(A36/12,0)</f>
        <v/>
      </c>
      <c r="C36" s="14">
        <f>IF(A36&lt;=$B$9*12,$B$6,0)</f>
        <v/>
      </c>
      <c r="D36" s="14">
        <f>IF(A36=1,$B$5+C36,D35+C36)</f>
        <v/>
      </c>
      <c r="E36" s="14">
        <f>IF(A36=1,$B$5,F35)</f>
        <v/>
      </c>
      <c r="F36" s="14">
        <f>IF(A36&lt;=$B$9*12,E36*(1+$B$8)^(1/12)+C36,0)</f>
        <v/>
      </c>
      <c r="G36" s="14">
        <f>IF(A36&lt;=$B$9*12,F36*$B$7,0)</f>
        <v/>
      </c>
      <c r="H36" s="14">
        <f>IF(A36=1,G36,H35+G36)</f>
        <v/>
      </c>
    </row>
    <row r="37">
      <c r="A37" s="13" t="n">
        <v>18</v>
      </c>
      <c r="B37" s="13">
        <f>ROUND(A37/12,0)</f>
        <v/>
      </c>
      <c r="C37" s="14">
        <f>IF(A37&lt;=$B$9*12,$B$6,0)</f>
        <v/>
      </c>
      <c r="D37" s="14">
        <f>IF(A37=1,$B$5+C37,D36+C37)</f>
        <v/>
      </c>
      <c r="E37" s="14">
        <f>IF(A37=1,$B$5,F36)</f>
        <v/>
      </c>
      <c r="F37" s="14">
        <f>IF(A37&lt;=$B$9*12,E37*(1+$B$8)^(1/12)+C37,0)</f>
        <v/>
      </c>
      <c r="G37" s="14">
        <f>IF(A37&lt;=$B$9*12,F37*$B$7,0)</f>
        <v/>
      </c>
      <c r="H37" s="14">
        <f>IF(A37=1,G37,H36+G37)</f>
        <v/>
      </c>
    </row>
    <row r="38">
      <c r="A38" s="13" t="n">
        <v>19</v>
      </c>
      <c r="B38" s="13">
        <f>ROUND(A38/12,0)</f>
        <v/>
      </c>
      <c r="C38" s="14">
        <f>IF(A38&lt;=$B$9*12,$B$6,0)</f>
        <v/>
      </c>
      <c r="D38" s="14">
        <f>IF(A38=1,$B$5+C38,D37+C38)</f>
        <v/>
      </c>
      <c r="E38" s="14">
        <f>IF(A38=1,$B$5,F37)</f>
        <v/>
      </c>
      <c r="F38" s="14">
        <f>IF(A38&lt;=$B$9*12,E38*(1+$B$8)^(1/12)+C38,0)</f>
        <v/>
      </c>
      <c r="G38" s="14">
        <f>IF(A38&lt;=$B$9*12,F38*$B$7,0)</f>
        <v/>
      </c>
      <c r="H38" s="14">
        <f>IF(A38=1,G38,H37+G38)</f>
        <v/>
      </c>
    </row>
    <row r="39">
      <c r="A39" s="13" t="n">
        <v>20</v>
      </c>
      <c r="B39" s="13">
        <f>ROUND(A39/12,0)</f>
        <v/>
      </c>
      <c r="C39" s="14">
        <f>IF(A39&lt;=$B$9*12,$B$6,0)</f>
        <v/>
      </c>
      <c r="D39" s="14">
        <f>IF(A39=1,$B$5+C39,D38+C39)</f>
        <v/>
      </c>
      <c r="E39" s="14">
        <f>IF(A39=1,$B$5,F38)</f>
        <v/>
      </c>
      <c r="F39" s="14">
        <f>IF(A39&lt;=$B$9*12,E39*(1+$B$8)^(1/12)+C39,0)</f>
        <v/>
      </c>
      <c r="G39" s="14">
        <f>IF(A39&lt;=$B$9*12,F39*$B$7,0)</f>
        <v/>
      </c>
      <c r="H39" s="14">
        <f>IF(A39=1,G39,H38+G39)</f>
        <v/>
      </c>
    </row>
    <row r="40">
      <c r="A40" s="13" t="n">
        <v>21</v>
      </c>
      <c r="B40" s="13">
        <f>ROUND(A40/12,0)</f>
        <v/>
      </c>
      <c r="C40" s="14">
        <f>IF(A40&lt;=$B$9*12,$B$6,0)</f>
        <v/>
      </c>
      <c r="D40" s="14">
        <f>IF(A40=1,$B$5+C40,D39+C40)</f>
        <v/>
      </c>
      <c r="E40" s="14">
        <f>IF(A40=1,$B$5,F39)</f>
        <v/>
      </c>
      <c r="F40" s="14">
        <f>IF(A40&lt;=$B$9*12,E40*(1+$B$8)^(1/12)+C40,0)</f>
        <v/>
      </c>
      <c r="G40" s="14">
        <f>IF(A40&lt;=$B$9*12,F40*$B$7,0)</f>
        <v/>
      </c>
      <c r="H40" s="14">
        <f>IF(A40=1,G40,H39+G40)</f>
        <v/>
      </c>
    </row>
    <row r="41">
      <c r="A41" s="13" t="n">
        <v>22</v>
      </c>
      <c r="B41" s="13">
        <f>ROUND(A41/12,0)</f>
        <v/>
      </c>
      <c r="C41" s="14">
        <f>IF(A41&lt;=$B$9*12,$B$6,0)</f>
        <v/>
      </c>
      <c r="D41" s="14">
        <f>IF(A41=1,$B$5+C41,D40+C41)</f>
        <v/>
      </c>
      <c r="E41" s="14">
        <f>IF(A41=1,$B$5,F40)</f>
        <v/>
      </c>
      <c r="F41" s="14">
        <f>IF(A41&lt;=$B$9*12,E41*(1+$B$8)^(1/12)+C41,0)</f>
        <v/>
      </c>
      <c r="G41" s="14">
        <f>IF(A41&lt;=$B$9*12,F41*$B$7,0)</f>
        <v/>
      </c>
      <c r="H41" s="14">
        <f>IF(A41=1,G41,H40+G41)</f>
        <v/>
      </c>
    </row>
    <row r="42">
      <c r="A42" s="13" t="n">
        <v>23</v>
      </c>
      <c r="B42" s="13">
        <f>ROUND(A42/12,0)</f>
        <v/>
      </c>
      <c r="C42" s="14">
        <f>IF(A42&lt;=$B$9*12,$B$6,0)</f>
        <v/>
      </c>
      <c r="D42" s="14">
        <f>IF(A42=1,$B$5+C42,D41+C42)</f>
        <v/>
      </c>
      <c r="E42" s="14">
        <f>IF(A42=1,$B$5,F41)</f>
        <v/>
      </c>
      <c r="F42" s="14">
        <f>IF(A42&lt;=$B$9*12,E42*(1+$B$8)^(1/12)+C42,0)</f>
        <v/>
      </c>
      <c r="G42" s="14">
        <f>IF(A42&lt;=$B$9*12,F42*$B$7,0)</f>
        <v/>
      </c>
      <c r="H42" s="14">
        <f>IF(A42=1,G42,H41+G42)</f>
        <v/>
      </c>
    </row>
    <row r="43">
      <c r="A43" s="13" t="n">
        <v>24</v>
      </c>
      <c r="B43" s="13">
        <f>ROUND(A43/12,0)</f>
        <v/>
      </c>
      <c r="C43" s="14">
        <f>IF(A43&lt;=$B$9*12,$B$6,0)</f>
        <v/>
      </c>
      <c r="D43" s="14">
        <f>IF(A43=1,$B$5+C43,D42+C43)</f>
        <v/>
      </c>
      <c r="E43" s="14">
        <f>IF(A43=1,$B$5,F42)</f>
        <v/>
      </c>
      <c r="F43" s="14">
        <f>IF(A43&lt;=$B$9*12,E43*(1+$B$8)^(1/12)+C43,0)</f>
        <v/>
      </c>
      <c r="G43" s="14">
        <f>IF(A43&lt;=$B$9*12,F43*$B$7,0)</f>
        <v/>
      </c>
      <c r="H43" s="14">
        <f>IF(A43=1,G43,H42+G43)</f>
        <v/>
      </c>
    </row>
    <row r="44">
      <c r="A44" s="13" t="n">
        <v>25</v>
      </c>
      <c r="B44" s="13">
        <f>ROUND(A44/12,0)</f>
        <v/>
      </c>
      <c r="C44" s="14">
        <f>IF(A44&lt;=$B$9*12,$B$6,0)</f>
        <v/>
      </c>
      <c r="D44" s="14">
        <f>IF(A44=1,$B$5+C44,D43+C44)</f>
        <v/>
      </c>
      <c r="E44" s="14">
        <f>IF(A44=1,$B$5,F43)</f>
        <v/>
      </c>
      <c r="F44" s="14">
        <f>IF(A44&lt;=$B$9*12,E44*(1+$B$8)^(1/12)+C44,0)</f>
        <v/>
      </c>
      <c r="G44" s="14">
        <f>IF(A44&lt;=$B$9*12,F44*$B$7,0)</f>
        <v/>
      </c>
      <c r="H44" s="14">
        <f>IF(A44=1,G44,H43+G44)</f>
        <v/>
      </c>
    </row>
    <row r="45">
      <c r="A45" s="13" t="n">
        <v>26</v>
      </c>
      <c r="B45" s="13">
        <f>ROUND(A45/12,0)</f>
        <v/>
      </c>
      <c r="C45" s="14">
        <f>IF(A45&lt;=$B$9*12,$B$6,0)</f>
        <v/>
      </c>
      <c r="D45" s="14">
        <f>IF(A45=1,$B$5+C45,D44+C45)</f>
        <v/>
      </c>
      <c r="E45" s="14">
        <f>IF(A45=1,$B$5,F44)</f>
        <v/>
      </c>
      <c r="F45" s="14">
        <f>IF(A45&lt;=$B$9*12,E45*(1+$B$8)^(1/12)+C45,0)</f>
        <v/>
      </c>
      <c r="G45" s="14">
        <f>IF(A45&lt;=$B$9*12,F45*$B$7,0)</f>
        <v/>
      </c>
      <c r="H45" s="14">
        <f>IF(A45=1,G45,H44+G45)</f>
        <v/>
      </c>
    </row>
    <row r="46">
      <c r="A46" s="13" t="n">
        <v>27</v>
      </c>
      <c r="B46" s="13">
        <f>ROUND(A46/12,0)</f>
        <v/>
      </c>
      <c r="C46" s="14">
        <f>IF(A46&lt;=$B$9*12,$B$6,0)</f>
        <v/>
      </c>
      <c r="D46" s="14">
        <f>IF(A46=1,$B$5+C46,D45+C46)</f>
        <v/>
      </c>
      <c r="E46" s="14">
        <f>IF(A46=1,$B$5,F45)</f>
        <v/>
      </c>
      <c r="F46" s="14">
        <f>IF(A46&lt;=$B$9*12,E46*(1+$B$8)^(1/12)+C46,0)</f>
        <v/>
      </c>
      <c r="G46" s="14">
        <f>IF(A46&lt;=$B$9*12,F46*$B$7,0)</f>
        <v/>
      </c>
      <c r="H46" s="14">
        <f>IF(A46=1,G46,H45+G46)</f>
        <v/>
      </c>
    </row>
    <row r="47">
      <c r="A47" s="13" t="n">
        <v>28</v>
      </c>
      <c r="B47" s="13">
        <f>ROUND(A47/12,0)</f>
        <v/>
      </c>
      <c r="C47" s="14">
        <f>IF(A47&lt;=$B$9*12,$B$6,0)</f>
        <v/>
      </c>
      <c r="D47" s="14">
        <f>IF(A47=1,$B$5+C47,D46+C47)</f>
        <v/>
      </c>
      <c r="E47" s="14">
        <f>IF(A47=1,$B$5,F46)</f>
        <v/>
      </c>
      <c r="F47" s="14">
        <f>IF(A47&lt;=$B$9*12,E47*(1+$B$8)^(1/12)+C47,0)</f>
        <v/>
      </c>
      <c r="G47" s="14">
        <f>IF(A47&lt;=$B$9*12,F47*$B$7,0)</f>
        <v/>
      </c>
      <c r="H47" s="14">
        <f>IF(A47=1,G47,H46+G47)</f>
        <v/>
      </c>
    </row>
    <row r="48">
      <c r="A48" s="13" t="n">
        <v>29</v>
      </c>
      <c r="B48" s="13">
        <f>ROUND(A48/12,0)</f>
        <v/>
      </c>
      <c r="C48" s="14">
        <f>IF(A48&lt;=$B$9*12,$B$6,0)</f>
        <v/>
      </c>
      <c r="D48" s="14">
        <f>IF(A48=1,$B$5+C48,D47+C48)</f>
        <v/>
      </c>
      <c r="E48" s="14">
        <f>IF(A48=1,$B$5,F47)</f>
        <v/>
      </c>
      <c r="F48" s="14">
        <f>IF(A48&lt;=$B$9*12,E48*(1+$B$8)^(1/12)+C48,0)</f>
        <v/>
      </c>
      <c r="G48" s="14">
        <f>IF(A48&lt;=$B$9*12,F48*$B$7,0)</f>
        <v/>
      </c>
      <c r="H48" s="14">
        <f>IF(A48=1,G48,H47+G48)</f>
        <v/>
      </c>
    </row>
    <row r="49">
      <c r="A49" s="13" t="n">
        <v>30</v>
      </c>
      <c r="B49" s="13">
        <f>ROUND(A49/12,0)</f>
        <v/>
      </c>
      <c r="C49" s="14">
        <f>IF(A49&lt;=$B$9*12,$B$6,0)</f>
        <v/>
      </c>
      <c r="D49" s="14">
        <f>IF(A49=1,$B$5+C49,D48+C49)</f>
        <v/>
      </c>
      <c r="E49" s="14">
        <f>IF(A49=1,$B$5,F48)</f>
        <v/>
      </c>
      <c r="F49" s="14">
        <f>IF(A49&lt;=$B$9*12,E49*(1+$B$8)^(1/12)+C49,0)</f>
        <v/>
      </c>
      <c r="G49" s="14">
        <f>IF(A49&lt;=$B$9*12,F49*$B$7,0)</f>
        <v/>
      </c>
      <c r="H49" s="14">
        <f>IF(A49=1,G49,H48+G49)</f>
        <v/>
      </c>
    </row>
    <row r="50">
      <c r="A50" s="13" t="n">
        <v>31</v>
      </c>
      <c r="B50" s="13">
        <f>ROUND(A50/12,0)</f>
        <v/>
      </c>
      <c r="C50" s="14">
        <f>IF(A50&lt;=$B$9*12,$B$6,0)</f>
        <v/>
      </c>
      <c r="D50" s="14">
        <f>IF(A50=1,$B$5+C50,D49+C50)</f>
        <v/>
      </c>
      <c r="E50" s="14">
        <f>IF(A50=1,$B$5,F49)</f>
        <v/>
      </c>
      <c r="F50" s="14">
        <f>IF(A50&lt;=$B$9*12,E50*(1+$B$8)^(1/12)+C50,0)</f>
        <v/>
      </c>
      <c r="G50" s="14">
        <f>IF(A50&lt;=$B$9*12,F50*$B$7,0)</f>
        <v/>
      </c>
      <c r="H50" s="14">
        <f>IF(A50=1,G50,H49+G50)</f>
        <v/>
      </c>
    </row>
    <row r="51">
      <c r="A51" s="13" t="n">
        <v>32</v>
      </c>
      <c r="B51" s="13">
        <f>ROUND(A51/12,0)</f>
        <v/>
      </c>
      <c r="C51" s="14">
        <f>IF(A51&lt;=$B$9*12,$B$6,0)</f>
        <v/>
      </c>
      <c r="D51" s="14">
        <f>IF(A51=1,$B$5+C51,D50+C51)</f>
        <v/>
      </c>
      <c r="E51" s="14">
        <f>IF(A51=1,$B$5,F50)</f>
        <v/>
      </c>
      <c r="F51" s="14">
        <f>IF(A51&lt;=$B$9*12,E51*(1+$B$8)^(1/12)+C51,0)</f>
        <v/>
      </c>
      <c r="G51" s="14">
        <f>IF(A51&lt;=$B$9*12,F51*$B$7,0)</f>
        <v/>
      </c>
      <c r="H51" s="14">
        <f>IF(A51=1,G51,H50+G51)</f>
        <v/>
      </c>
    </row>
    <row r="52">
      <c r="A52" s="13" t="n">
        <v>33</v>
      </c>
      <c r="B52" s="13">
        <f>ROUND(A52/12,0)</f>
        <v/>
      </c>
      <c r="C52" s="14">
        <f>IF(A52&lt;=$B$9*12,$B$6,0)</f>
        <v/>
      </c>
      <c r="D52" s="14">
        <f>IF(A52=1,$B$5+C52,D51+C52)</f>
        <v/>
      </c>
      <c r="E52" s="14">
        <f>IF(A52=1,$B$5,F51)</f>
        <v/>
      </c>
      <c r="F52" s="14">
        <f>IF(A52&lt;=$B$9*12,E52*(1+$B$8)^(1/12)+C52,0)</f>
        <v/>
      </c>
      <c r="G52" s="14">
        <f>IF(A52&lt;=$B$9*12,F52*$B$7,0)</f>
        <v/>
      </c>
      <c r="H52" s="14">
        <f>IF(A52=1,G52,H51+G52)</f>
        <v/>
      </c>
    </row>
    <row r="53">
      <c r="A53" s="13" t="n">
        <v>34</v>
      </c>
      <c r="B53" s="13">
        <f>ROUND(A53/12,0)</f>
        <v/>
      </c>
      <c r="C53" s="14">
        <f>IF(A53&lt;=$B$9*12,$B$6,0)</f>
        <v/>
      </c>
      <c r="D53" s="14">
        <f>IF(A53=1,$B$5+C53,D52+C53)</f>
        <v/>
      </c>
      <c r="E53" s="14">
        <f>IF(A53=1,$B$5,F52)</f>
        <v/>
      </c>
      <c r="F53" s="14">
        <f>IF(A53&lt;=$B$9*12,E53*(1+$B$8)^(1/12)+C53,0)</f>
        <v/>
      </c>
      <c r="G53" s="14">
        <f>IF(A53&lt;=$B$9*12,F53*$B$7,0)</f>
        <v/>
      </c>
      <c r="H53" s="14">
        <f>IF(A53=1,G53,H52+G53)</f>
        <v/>
      </c>
    </row>
    <row r="54">
      <c r="A54" s="13" t="n">
        <v>35</v>
      </c>
      <c r="B54" s="13">
        <f>ROUND(A54/12,0)</f>
        <v/>
      </c>
      <c r="C54" s="14">
        <f>IF(A54&lt;=$B$9*12,$B$6,0)</f>
        <v/>
      </c>
      <c r="D54" s="14">
        <f>IF(A54=1,$B$5+C54,D53+C54)</f>
        <v/>
      </c>
      <c r="E54" s="14">
        <f>IF(A54=1,$B$5,F53)</f>
        <v/>
      </c>
      <c r="F54" s="14">
        <f>IF(A54&lt;=$B$9*12,E54*(1+$B$8)^(1/12)+C54,0)</f>
        <v/>
      </c>
      <c r="G54" s="14">
        <f>IF(A54&lt;=$B$9*12,F54*$B$7,0)</f>
        <v/>
      </c>
      <c r="H54" s="14">
        <f>IF(A54=1,G54,H53+G54)</f>
        <v/>
      </c>
    </row>
    <row r="55">
      <c r="A55" s="13" t="n">
        <v>36</v>
      </c>
      <c r="B55" s="13">
        <f>ROUND(A55/12,0)</f>
        <v/>
      </c>
      <c r="C55" s="14">
        <f>IF(A55&lt;=$B$9*12,$B$6,0)</f>
        <v/>
      </c>
      <c r="D55" s="14">
        <f>IF(A55=1,$B$5+C55,D54+C55)</f>
        <v/>
      </c>
      <c r="E55" s="14">
        <f>IF(A55=1,$B$5,F54)</f>
        <v/>
      </c>
      <c r="F55" s="14">
        <f>IF(A55&lt;=$B$9*12,E55*(1+$B$8)^(1/12)+C55,0)</f>
        <v/>
      </c>
      <c r="G55" s="14">
        <f>IF(A55&lt;=$B$9*12,F55*$B$7,0)</f>
        <v/>
      </c>
      <c r="H55" s="14">
        <f>IF(A55=1,G55,H54+G55)</f>
        <v/>
      </c>
    </row>
    <row r="56">
      <c r="A56" s="13" t="n">
        <v>37</v>
      </c>
      <c r="B56" s="13">
        <f>ROUND(A56/12,0)</f>
        <v/>
      </c>
      <c r="C56" s="14">
        <f>IF(A56&lt;=$B$9*12,$B$6,0)</f>
        <v/>
      </c>
      <c r="D56" s="14">
        <f>IF(A56=1,$B$5+C56,D55+C56)</f>
        <v/>
      </c>
      <c r="E56" s="14">
        <f>IF(A56=1,$B$5,F55)</f>
        <v/>
      </c>
      <c r="F56" s="14">
        <f>IF(A56&lt;=$B$9*12,E56*(1+$B$8)^(1/12)+C56,0)</f>
        <v/>
      </c>
      <c r="G56" s="14">
        <f>IF(A56&lt;=$B$9*12,F56*$B$7,0)</f>
        <v/>
      </c>
      <c r="H56" s="14">
        <f>IF(A56=1,G56,H55+G56)</f>
        <v/>
      </c>
    </row>
    <row r="57">
      <c r="A57" s="13" t="n">
        <v>38</v>
      </c>
      <c r="B57" s="13">
        <f>ROUND(A57/12,0)</f>
        <v/>
      </c>
      <c r="C57" s="14">
        <f>IF(A57&lt;=$B$9*12,$B$6,0)</f>
        <v/>
      </c>
      <c r="D57" s="14">
        <f>IF(A57=1,$B$5+C57,D56+C57)</f>
        <v/>
      </c>
      <c r="E57" s="14">
        <f>IF(A57=1,$B$5,F56)</f>
        <v/>
      </c>
      <c r="F57" s="14">
        <f>IF(A57&lt;=$B$9*12,E57*(1+$B$8)^(1/12)+C57,0)</f>
        <v/>
      </c>
      <c r="G57" s="14">
        <f>IF(A57&lt;=$B$9*12,F57*$B$7,0)</f>
        <v/>
      </c>
      <c r="H57" s="14">
        <f>IF(A57=1,G57,H56+G57)</f>
        <v/>
      </c>
    </row>
    <row r="58">
      <c r="A58" s="13" t="n">
        <v>39</v>
      </c>
      <c r="B58" s="13">
        <f>ROUND(A58/12,0)</f>
        <v/>
      </c>
      <c r="C58" s="14">
        <f>IF(A58&lt;=$B$9*12,$B$6,0)</f>
        <v/>
      </c>
      <c r="D58" s="14">
        <f>IF(A58=1,$B$5+C58,D57+C58)</f>
        <v/>
      </c>
      <c r="E58" s="14">
        <f>IF(A58=1,$B$5,F57)</f>
        <v/>
      </c>
      <c r="F58" s="14">
        <f>IF(A58&lt;=$B$9*12,E58*(1+$B$8)^(1/12)+C58,0)</f>
        <v/>
      </c>
      <c r="G58" s="14">
        <f>IF(A58&lt;=$B$9*12,F58*$B$7,0)</f>
        <v/>
      </c>
      <c r="H58" s="14">
        <f>IF(A58=1,G58,H57+G58)</f>
        <v/>
      </c>
    </row>
    <row r="59">
      <c r="A59" s="13" t="n">
        <v>40</v>
      </c>
      <c r="B59" s="13">
        <f>ROUND(A59/12,0)</f>
        <v/>
      </c>
      <c r="C59" s="14">
        <f>IF(A59&lt;=$B$9*12,$B$6,0)</f>
        <v/>
      </c>
      <c r="D59" s="14">
        <f>IF(A59=1,$B$5+C59,D58+C59)</f>
        <v/>
      </c>
      <c r="E59" s="14">
        <f>IF(A59=1,$B$5,F58)</f>
        <v/>
      </c>
      <c r="F59" s="14">
        <f>IF(A59&lt;=$B$9*12,E59*(1+$B$8)^(1/12)+C59,0)</f>
        <v/>
      </c>
      <c r="G59" s="14">
        <f>IF(A59&lt;=$B$9*12,F59*$B$7,0)</f>
        <v/>
      </c>
      <c r="H59" s="14">
        <f>IF(A59=1,G59,H58+G59)</f>
        <v/>
      </c>
    </row>
    <row r="60">
      <c r="A60" s="13" t="n">
        <v>41</v>
      </c>
      <c r="B60" s="13">
        <f>ROUND(A60/12,0)</f>
        <v/>
      </c>
      <c r="C60" s="14">
        <f>IF(A60&lt;=$B$9*12,$B$6,0)</f>
        <v/>
      </c>
      <c r="D60" s="14">
        <f>IF(A60=1,$B$5+C60,D59+C60)</f>
        <v/>
      </c>
      <c r="E60" s="14">
        <f>IF(A60=1,$B$5,F59)</f>
        <v/>
      </c>
      <c r="F60" s="14">
        <f>IF(A60&lt;=$B$9*12,E60*(1+$B$8)^(1/12)+C60,0)</f>
        <v/>
      </c>
      <c r="G60" s="14">
        <f>IF(A60&lt;=$B$9*12,F60*$B$7,0)</f>
        <v/>
      </c>
      <c r="H60" s="14">
        <f>IF(A60=1,G60,H59+G60)</f>
        <v/>
      </c>
    </row>
    <row r="61">
      <c r="A61" s="13" t="n">
        <v>42</v>
      </c>
      <c r="B61" s="13">
        <f>ROUND(A61/12,0)</f>
        <v/>
      </c>
      <c r="C61" s="14">
        <f>IF(A61&lt;=$B$9*12,$B$6,0)</f>
        <v/>
      </c>
      <c r="D61" s="14">
        <f>IF(A61=1,$B$5+C61,D60+C61)</f>
        <v/>
      </c>
      <c r="E61" s="14">
        <f>IF(A61=1,$B$5,F60)</f>
        <v/>
      </c>
      <c r="F61" s="14">
        <f>IF(A61&lt;=$B$9*12,E61*(1+$B$8)^(1/12)+C61,0)</f>
        <v/>
      </c>
      <c r="G61" s="14">
        <f>IF(A61&lt;=$B$9*12,F61*$B$7,0)</f>
        <v/>
      </c>
      <c r="H61" s="14">
        <f>IF(A61=1,G61,H60+G61)</f>
        <v/>
      </c>
    </row>
    <row r="62">
      <c r="A62" s="13" t="n">
        <v>43</v>
      </c>
      <c r="B62" s="13">
        <f>ROUND(A62/12,0)</f>
        <v/>
      </c>
      <c r="C62" s="14">
        <f>IF(A62&lt;=$B$9*12,$B$6,0)</f>
        <v/>
      </c>
      <c r="D62" s="14">
        <f>IF(A62=1,$B$5+C62,D61+C62)</f>
        <v/>
      </c>
      <c r="E62" s="14">
        <f>IF(A62=1,$B$5,F61)</f>
        <v/>
      </c>
      <c r="F62" s="14">
        <f>IF(A62&lt;=$B$9*12,E62*(1+$B$8)^(1/12)+C62,0)</f>
        <v/>
      </c>
      <c r="G62" s="14">
        <f>IF(A62&lt;=$B$9*12,F62*$B$7,0)</f>
        <v/>
      </c>
      <c r="H62" s="14">
        <f>IF(A62=1,G62,H61+G62)</f>
        <v/>
      </c>
    </row>
    <row r="63">
      <c r="A63" s="13" t="n">
        <v>44</v>
      </c>
      <c r="B63" s="13">
        <f>ROUND(A63/12,0)</f>
        <v/>
      </c>
      <c r="C63" s="14">
        <f>IF(A63&lt;=$B$9*12,$B$6,0)</f>
        <v/>
      </c>
      <c r="D63" s="14">
        <f>IF(A63=1,$B$5+C63,D62+C63)</f>
        <v/>
      </c>
      <c r="E63" s="14">
        <f>IF(A63=1,$B$5,F62)</f>
        <v/>
      </c>
      <c r="F63" s="14">
        <f>IF(A63&lt;=$B$9*12,E63*(1+$B$8)^(1/12)+C63,0)</f>
        <v/>
      </c>
      <c r="G63" s="14">
        <f>IF(A63&lt;=$B$9*12,F63*$B$7,0)</f>
        <v/>
      </c>
      <c r="H63" s="14">
        <f>IF(A63=1,G63,H62+G63)</f>
        <v/>
      </c>
    </row>
    <row r="64">
      <c r="A64" s="13" t="n">
        <v>45</v>
      </c>
      <c r="B64" s="13">
        <f>ROUND(A64/12,0)</f>
        <v/>
      </c>
      <c r="C64" s="14">
        <f>IF(A64&lt;=$B$9*12,$B$6,0)</f>
        <v/>
      </c>
      <c r="D64" s="14">
        <f>IF(A64=1,$B$5+C64,D63+C64)</f>
        <v/>
      </c>
      <c r="E64" s="14">
        <f>IF(A64=1,$B$5,F63)</f>
        <v/>
      </c>
      <c r="F64" s="14">
        <f>IF(A64&lt;=$B$9*12,E64*(1+$B$8)^(1/12)+C64,0)</f>
        <v/>
      </c>
      <c r="G64" s="14">
        <f>IF(A64&lt;=$B$9*12,F64*$B$7,0)</f>
        <v/>
      </c>
      <c r="H64" s="14">
        <f>IF(A64=1,G64,H63+G64)</f>
        <v/>
      </c>
    </row>
    <row r="65">
      <c r="A65" s="13" t="n">
        <v>46</v>
      </c>
      <c r="B65" s="13">
        <f>ROUND(A65/12,0)</f>
        <v/>
      </c>
      <c r="C65" s="14">
        <f>IF(A65&lt;=$B$9*12,$B$6,0)</f>
        <v/>
      </c>
      <c r="D65" s="14">
        <f>IF(A65=1,$B$5+C65,D64+C65)</f>
        <v/>
      </c>
      <c r="E65" s="14">
        <f>IF(A65=1,$B$5,F64)</f>
        <v/>
      </c>
      <c r="F65" s="14">
        <f>IF(A65&lt;=$B$9*12,E65*(1+$B$8)^(1/12)+C65,0)</f>
        <v/>
      </c>
      <c r="G65" s="14">
        <f>IF(A65&lt;=$B$9*12,F65*$B$7,0)</f>
        <v/>
      </c>
      <c r="H65" s="14">
        <f>IF(A65=1,G65,H64+G65)</f>
        <v/>
      </c>
    </row>
    <row r="66">
      <c r="A66" s="13" t="n">
        <v>47</v>
      </c>
      <c r="B66" s="13">
        <f>ROUND(A66/12,0)</f>
        <v/>
      </c>
      <c r="C66" s="14">
        <f>IF(A66&lt;=$B$9*12,$B$6,0)</f>
        <v/>
      </c>
      <c r="D66" s="14">
        <f>IF(A66=1,$B$5+C66,D65+C66)</f>
        <v/>
      </c>
      <c r="E66" s="14">
        <f>IF(A66=1,$B$5,F65)</f>
        <v/>
      </c>
      <c r="F66" s="14">
        <f>IF(A66&lt;=$B$9*12,E66*(1+$B$8)^(1/12)+C66,0)</f>
        <v/>
      </c>
      <c r="G66" s="14">
        <f>IF(A66&lt;=$B$9*12,F66*$B$7,0)</f>
        <v/>
      </c>
      <c r="H66" s="14">
        <f>IF(A66=1,G66,H65+G66)</f>
        <v/>
      </c>
    </row>
    <row r="67">
      <c r="A67" s="13" t="n">
        <v>48</v>
      </c>
      <c r="B67" s="13">
        <f>ROUND(A67/12,0)</f>
        <v/>
      </c>
      <c r="C67" s="14">
        <f>IF(A67&lt;=$B$9*12,$B$6,0)</f>
        <v/>
      </c>
      <c r="D67" s="14">
        <f>IF(A67=1,$B$5+C67,D66+C67)</f>
        <v/>
      </c>
      <c r="E67" s="14">
        <f>IF(A67=1,$B$5,F66)</f>
        <v/>
      </c>
      <c r="F67" s="14">
        <f>IF(A67&lt;=$B$9*12,E67*(1+$B$8)^(1/12)+C67,0)</f>
        <v/>
      </c>
      <c r="G67" s="14">
        <f>IF(A67&lt;=$B$9*12,F67*$B$7,0)</f>
        <v/>
      </c>
      <c r="H67" s="14">
        <f>IF(A67=1,G67,H66+G67)</f>
        <v/>
      </c>
    </row>
    <row r="68">
      <c r="A68" s="13" t="n">
        <v>49</v>
      </c>
      <c r="B68" s="13">
        <f>ROUND(A68/12,0)</f>
        <v/>
      </c>
      <c r="C68" s="14">
        <f>IF(A68&lt;=$B$9*12,$B$6,0)</f>
        <v/>
      </c>
      <c r="D68" s="14">
        <f>IF(A68=1,$B$5+C68,D67+C68)</f>
        <v/>
      </c>
      <c r="E68" s="14">
        <f>IF(A68=1,$B$5,F67)</f>
        <v/>
      </c>
      <c r="F68" s="14">
        <f>IF(A68&lt;=$B$9*12,E68*(1+$B$8)^(1/12)+C68,0)</f>
        <v/>
      </c>
      <c r="G68" s="14">
        <f>IF(A68&lt;=$B$9*12,F68*$B$7,0)</f>
        <v/>
      </c>
      <c r="H68" s="14">
        <f>IF(A68=1,G68,H67+G68)</f>
        <v/>
      </c>
    </row>
    <row r="69">
      <c r="A69" s="13" t="n">
        <v>50</v>
      </c>
      <c r="B69" s="13">
        <f>ROUND(A69/12,0)</f>
        <v/>
      </c>
      <c r="C69" s="14">
        <f>IF(A69&lt;=$B$9*12,$B$6,0)</f>
        <v/>
      </c>
      <c r="D69" s="14">
        <f>IF(A69=1,$B$5+C69,D68+C69)</f>
        <v/>
      </c>
      <c r="E69" s="14">
        <f>IF(A69=1,$B$5,F68)</f>
        <v/>
      </c>
      <c r="F69" s="14">
        <f>IF(A69&lt;=$B$9*12,E69*(1+$B$8)^(1/12)+C69,0)</f>
        <v/>
      </c>
      <c r="G69" s="14">
        <f>IF(A69&lt;=$B$9*12,F69*$B$7,0)</f>
        <v/>
      </c>
      <c r="H69" s="14">
        <f>IF(A69=1,G69,H68+G69)</f>
        <v/>
      </c>
    </row>
    <row r="70">
      <c r="A70" s="13" t="n">
        <v>51</v>
      </c>
      <c r="B70" s="13">
        <f>ROUND(A70/12,0)</f>
        <v/>
      </c>
      <c r="C70" s="14">
        <f>IF(A70&lt;=$B$9*12,$B$6,0)</f>
        <v/>
      </c>
      <c r="D70" s="14">
        <f>IF(A70=1,$B$5+C70,D69+C70)</f>
        <v/>
      </c>
      <c r="E70" s="14">
        <f>IF(A70=1,$B$5,F69)</f>
        <v/>
      </c>
      <c r="F70" s="14">
        <f>IF(A70&lt;=$B$9*12,E70*(1+$B$8)^(1/12)+C70,0)</f>
        <v/>
      </c>
      <c r="G70" s="14">
        <f>IF(A70&lt;=$B$9*12,F70*$B$7,0)</f>
        <v/>
      </c>
      <c r="H70" s="14">
        <f>IF(A70=1,G70,H69+G70)</f>
        <v/>
      </c>
    </row>
    <row r="71">
      <c r="A71" s="13" t="n">
        <v>52</v>
      </c>
      <c r="B71" s="13">
        <f>ROUND(A71/12,0)</f>
        <v/>
      </c>
      <c r="C71" s="14">
        <f>IF(A71&lt;=$B$9*12,$B$6,0)</f>
        <v/>
      </c>
      <c r="D71" s="14">
        <f>IF(A71=1,$B$5+C71,D70+C71)</f>
        <v/>
      </c>
      <c r="E71" s="14">
        <f>IF(A71=1,$B$5,F70)</f>
        <v/>
      </c>
      <c r="F71" s="14">
        <f>IF(A71&lt;=$B$9*12,E71*(1+$B$8)^(1/12)+C71,0)</f>
        <v/>
      </c>
      <c r="G71" s="14">
        <f>IF(A71&lt;=$B$9*12,F71*$B$7,0)</f>
        <v/>
      </c>
      <c r="H71" s="14">
        <f>IF(A71=1,G71,H70+G71)</f>
        <v/>
      </c>
    </row>
    <row r="72">
      <c r="A72" s="13" t="n">
        <v>53</v>
      </c>
      <c r="B72" s="13">
        <f>ROUND(A72/12,0)</f>
        <v/>
      </c>
      <c r="C72" s="14">
        <f>IF(A72&lt;=$B$9*12,$B$6,0)</f>
        <v/>
      </c>
      <c r="D72" s="14">
        <f>IF(A72=1,$B$5+C72,D71+C72)</f>
        <v/>
      </c>
      <c r="E72" s="14">
        <f>IF(A72=1,$B$5,F71)</f>
        <v/>
      </c>
      <c r="F72" s="14">
        <f>IF(A72&lt;=$B$9*12,E72*(1+$B$8)^(1/12)+C72,0)</f>
        <v/>
      </c>
      <c r="G72" s="14">
        <f>IF(A72&lt;=$B$9*12,F72*$B$7,0)</f>
        <v/>
      </c>
      <c r="H72" s="14">
        <f>IF(A72=1,G72,H71+G72)</f>
        <v/>
      </c>
    </row>
    <row r="73">
      <c r="A73" s="13" t="n">
        <v>54</v>
      </c>
      <c r="B73" s="13">
        <f>ROUND(A73/12,0)</f>
        <v/>
      </c>
      <c r="C73" s="14">
        <f>IF(A73&lt;=$B$9*12,$B$6,0)</f>
        <v/>
      </c>
      <c r="D73" s="14">
        <f>IF(A73=1,$B$5+C73,D72+C73)</f>
        <v/>
      </c>
      <c r="E73" s="14">
        <f>IF(A73=1,$B$5,F72)</f>
        <v/>
      </c>
      <c r="F73" s="14">
        <f>IF(A73&lt;=$B$9*12,E73*(1+$B$8)^(1/12)+C73,0)</f>
        <v/>
      </c>
      <c r="G73" s="14">
        <f>IF(A73&lt;=$B$9*12,F73*$B$7,0)</f>
        <v/>
      </c>
      <c r="H73" s="14">
        <f>IF(A73=1,G73,H72+G73)</f>
        <v/>
      </c>
    </row>
    <row r="74">
      <c r="A74" s="13" t="n">
        <v>55</v>
      </c>
      <c r="B74" s="13">
        <f>ROUND(A74/12,0)</f>
        <v/>
      </c>
      <c r="C74" s="14">
        <f>IF(A74&lt;=$B$9*12,$B$6,0)</f>
        <v/>
      </c>
      <c r="D74" s="14">
        <f>IF(A74=1,$B$5+C74,D73+C74)</f>
        <v/>
      </c>
      <c r="E74" s="14">
        <f>IF(A74=1,$B$5,F73)</f>
        <v/>
      </c>
      <c r="F74" s="14">
        <f>IF(A74&lt;=$B$9*12,E74*(1+$B$8)^(1/12)+C74,0)</f>
        <v/>
      </c>
      <c r="G74" s="14">
        <f>IF(A74&lt;=$B$9*12,F74*$B$7,0)</f>
        <v/>
      </c>
      <c r="H74" s="14">
        <f>IF(A74=1,G74,H73+G74)</f>
        <v/>
      </c>
    </row>
    <row r="75">
      <c r="A75" s="13" t="n">
        <v>56</v>
      </c>
      <c r="B75" s="13">
        <f>ROUND(A75/12,0)</f>
        <v/>
      </c>
      <c r="C75" s="14">
        <f>IF(A75&lt;=$B$9*12,$B$6,0)</f>
        <v/>
      </c>
      <c r="D75" s="14">
        <f>IF(A75=1,$B$5+C75,D74+C75)</f>
        <v/>
      </c>
      <c r="E75" s="14">
        <f>IF(A75=1,$B$5,F74)</f>
        <v/>
      </c>
      <c r="F75" s="14">
        <f>IF(A75&lt;=$B$9*12,E75*(1+$B$8)^(1/12)+C75,0)</f>
        <v/>
      </c>
      <c r="G75" s="14">
        <f>IF(A75&lt;=$B$9*12,F75*$B$7,0)</f>
        <v/>
      </c>
      <c r="H75" s="14">
        <f>IF(A75=1,G75,H74+G75)</f>
        <v/>
      </c>
    </row>
    <row r="76">
      <c r="A76" s="13" t="n">
        <v>57</v>
      </c>
      <c r="B76" s="13">
        <f>ROUND(A76/12,0)</f>
        <v/>
      </c>
      <c r="C76" s="14">
        <f>IF(A76&lt;=$B$9*12,$B$6,0)</f>
        <v/>
      </c>
      <c r="D76" s="14">
        <f>IF(A76=1,$B$5+C76,D75+C76)</f>
        <v/>
      </c>
      <c r="E76" s="14">
        <f>IF(A76=1,$B$5,F75)</f>
        <v/>
      </c>
      <c r="F76" s="14">
        <f>IF(A76&lt;=$B$9*12,E76*(1+$B$8)^(1/12)+C76,0)</f>
        <v/>
      </c>
      <c r="G76" s="14">
        <f>IF(A76&lt;=$B$9*12,F76*$B$7,0)</f>
        <v/>
      </c>
      <c r="H76" s="14">
        <f>IF(A76=1,G76,H75+G76)</f>
        <v/>
      </c>
    </row>
    <row r="77">
      <c r="A77" s="13" t="n">
        <v>58</v>
      </c>
      <c r="B77" s="13">
        <f>ROUND(A77/12,0)</f>
        <v/>
      </c>
      <c r="C77" s="14">
        <f>IF(A77&lt;=$B$9*12,$B$6,0)</f>
        <v/>
      </c>
      <c r="D77" s="14">
        <f>IF(A77=1,$B$5+C77,D76+C77)</f>
        <v/>
      </c>
      <c r="E77" s="14">
        <f>IF(A77=1,$B$5,F76)</f>
        <v/>
      </c>
      <c r="F77" s="14">
        <f>IF(A77&lt;=$B$9*12,E77*(1+$B$8)^(1/12)+C77,0)</f>
        <v/>
      </c>
      <c r="G77" s="14">
        <f>IF(A77&lt;=$B$9*12,F77*$B$7,0)</f>
        <v/>
      </c>
      <c r="H77" s="14">
        <f>IF(A77=1,G77,H76+G77)</f>
        <v/>
      </c>
    </row>
    <row r="78">
      <c r="A78" s="13" t="n">
        <v>59</v>
      </c>
      <c r="B78" s="13">
        <f>ROUND(A78/12,0)</f>
        <v/>
      </c>
      <c r="C78" s="14">
        <f>IF(A78&lt;=$B$9*12,$B$6,0)</f>
        <v/>
      </c>
      <c r="D78" s="14">
        <f>IF(A78=1,$B$5+C78,D77+C78)</f>
        <v/>
      </c>
      <c r="E78" s="14">
        <f>IF(A78=1,$B$5,F77)</f>
        <v/>
      </c>
      <c r="F78" s="14">
        <f>IF(A78&lt;=$B$9*12,E78*(1+$B$8)^(1/12)+C78,0)</f>
        <v/>
      </c>
      <c r="G78" s="14">
        <f>IF(A78&lt;=$B$9*12,F78*$B$7,0)</f>
        <v/>
      </c>
      <c r="H78" s="14">
        <f>IF(A78=1,G78,H77+G78)</f>
        <v/>
      </c>
    </row>
    <row r="79">
      <c r="A79" s="13" t="n">
        <v>60</v>
      </c>
      <c r="B79" s="13">
        <f>ROUND(A79/12,0)</f>
        <v/>
      </c>
      <c r="C79" s="14">
        <f>IF(A79&lt;=$B$9*12,$B$6,0)</f>
        <v/>
      </c>
      <c r="D79" s="14">
        <f>IF(A79=1,$B$5+C79,D78+C79)</f>
        <v/>
      </c>
      <c r="E79" s="14">
        <f>IF(A79=1,$B$5,F78)</f>
        <v/>
      </c>
      <c r="F79" s="14">
        <f>IF(A79&lt;=$B$9*12,E79*(1+$B$8)^(1/12)+C79,0)</f>
        <v/>
      </c>
      <c r="G79" s="14">
        <f>IF(A79&lt;=$B$9*12,F79*$B$7,0)</f>
        <v/>
      </c>
      <c r="H79" s="14">
        <f>IF(A79=1,G79,H78+G79)</f>
        <v/>
      </c>
    </row>
    <row r="80">
      <c r="A80" s="13" t="n">
        <v>61</v>
      </c>
      <c r="B80" s="13">
        <f>ROUND(A80/12,0)</f>
        <v/>
      </c>
      <c r="C80" s="14">
        <f>IF(A80&lt;=$B$9*12,$B$6,0)</f>
        <v/>
      </c>
      <c r="D80" s="14">
        <f>IF(A80=1,$B$5+C80,D79+C80)</f>
        <v/>
      </c>
      <c r="E80" s="14">
        <f>IF(A80=1,$B$5,F79)</f>
        <v/>
      </c>
      <c r="F80" s="14">
        <f>IF(A80&lt;=$B$9*12,E80*(1+$B$8)^(1/12)+C80,0)</f>
        <v/>
      </c>
      <c r="G80" s="14">
        <f>IF(A80&lt;=$B$9*12,F80*$B$7,0)</f>
        <v/>
      </c>
      <c r="H80" s="14">
        <f>IF(A80=1,G80,H79+G80)</f>
        <v/>
      </c>
    </row>
    <row r="81">
      <c r="A81" s="13" t="n">
        <v>62</v>
      </c>
      <c r="B81" s="13">
        <f>ROUND(A81/12,0)</f>
        <v/>
      </c>
      <c r="C81" s="14">
        <f>IF(A81&lt;=$B$9*12,$B$6,0)</f>
        <v/>
      </c>
      <c r="D81" s="14">
        <f>IF(A81=1,$B$5+C81,D80+C81)</f>
        <v/>
      </c>
      <c r="E81" s="14">
        <f>IF(A81=1,$B$5,F80)</f>
        <v/>
      </c>
      <c r="F81" s="14">
        <f>IF(A81&lt;=$B$9*12,E81*(1+$B$8)^(1/12)+C81,0)</f>
        <v/>
      </c>
      <c r="G81" s="14">
        <f>IF(A81&lt;=$B$9*12,F81*$B$7,0)</f>
        <v/>
      </c>
      <c r="H81" s="14">
        <f>IF(A81=1,G81,H80+G81)</f>
        <v/>
      </c>
    </row>
    <row r="82">
      <c r="A82" s="13" t="n">
        <v>63</v>
      </c>
      <c r="B82" s="13">
        <f>ROUND(A82/12,0)</f>
        <v/>
      </c>
      <c r="C82" s="14">
        <f>IF(A82&lt;=$B$9*12,$B$6,0)</f>
        <v/>
      </c>
      <c r="D82" s="14">
        <f>IF(A82=1,$B$5+C82,D81+C82)</f>
        <v/>
      </c>
      <c r="E82" s="14">
        <f>IF(A82=1,$B$5,F81)</f>
        <v/>
      </c>
      <c r="F82" s="14">
        <f>IF(A82&lt;=$B$9*12,E82*(1+$B$8)^(1/12)+C82,0)</f>
        <v/>
      </c>
      <c r="G82" s="14">
        <f>IF(A82&lt;=$B$9*12,F82*$B$7,0)</f>
        <v/>
      </c>
      <c r="H82" s="14">
        <f>IF(A82=1,G82,H81+G82)</f>
        <v/>
      </c>
    </row>
    <row r="83">
      <c r="A83" s="13" t="n">
        <v>64</v>
      </c>
      <c r="B83" s="13">
        <f>ROUND(A83/12,0)</f>
        <v/>
      </c>
      <c r="C83" s="14">
        <f>IF(A83&lt;=$B$9*12,$B$6,0)</f>
        <v/>
      </c>
      <c r="D83" s="14">
        <f>IF(A83=1,$B$5+C83,D82+C83)</f>
        <v/>
      </c>
      <c r="E83" s="14">
        <f>IF(A83=1,$B$5,F82)</f>
        <v/>
      </c>
      <c r="F83" s="14">
        <f>IF(A83&lt;=$B$9*12,E83*(1+$B$8)^(1/12)+C83,0)</f>
        <v/>
      </c>
      <c r="G83" s="14">
        <f>IF(A83&lt;=$B$9*12,F83*$B$7,0)</f>
        <v/>
      </c>
      <c r="H83" s="14">
        <f>IF(A83=1,G83,H82+G83)</f>
        <v/>
      </c>
    </row>
    <row r="84">
      <c r="A84" s="13" t="n">
        <v>65</v>
      </c>
      <c r="B84" s="13">
        <f>ROUND(A84/12,0)</f>
        <v/>
      </c>
      <c r="C84" s="14">
        <f>IF(A84&lt;=$B$9*12,$B$6,0)</f>
        <v/>
      </c>
      <c r="D84" s="14">
        <f>IF(A84=1,$B$5+C84,D83+C84)</f>
        <v/>
      </c>
      <c r="E84" s="14">
        <f>IF(A84=1,$B$5,F83)</f>
        <v/>
      </c>
      <c r="F84" s="14">
        <f>IF(A84&lt;=$B$9*12,E84*(1+$B$8)^(1/12)+C84,0)</f>
        <v/>
      </c>
      <c r="G84" s="14">
        <f>IF(A84&lt;=$B$9*12,F84*$B$7,0)</f>
        <v/>
      </c>
      <c r="H84" s="14">
        <f>IF(A84=1,G84,H83+G84)</f>
        <v/>
      </c>
    </row>
    <row r="85">
      <c r="A85" s="13" t="n">
        <v>66</v>
      </c>
      <c r="B85" s="13">
        <f>ROUND(A85/12,0)</f>
        <v/>
      </c>
      <c r="C85" s="14">
        <f>IF(A85&lt;=$B$9*12,$B$6,0)</f>
        <v/>
      </c>
      <c r="D85" s="14">
        <f>IF(A85=1,$B$5+C85,D84+C85)</f>
        <v/>
      </c>
      <c r="E85" s="14">
        <f>IF(A85=1,$B$5,F84)</f>
        <v/>
      </c>
      <c r="F85" s="14">
        <f>IF(A85&lt;=$B$9*12,E85*(1+$B$8)^(1/12)+C85,0)</f>
        <v/>
      </c>
      <c r="G85" s="14">
        <f>IF(A85&lt;=$B$9*12,F85*$B$7,0)</f>
        <v/>
      </c>
      <c r="H85" s="14">
        <f>IF(A85=1,G85,H84+G85)</f>
        <v/>
      </c>
    </row>
    <row r="86">
      <c r="A86" s="13" t="n">
        <v>67</v>
      </c>
      <c r="B86" s="13">
        <f>ROUND(A86/12,0)</f>
        <v/>
      </c>
      <c r="C86" s="14">
        <f>IF(A86&lt;=$B$9*12,$B$6,0)</f>
        <v/>
      </c>
      <c r="D86" s="14">
        <f>IF(A86=1,$B$5+C86,D85+C86)</f>
        <v/>
      </c>
      <c r="E86" s="14">
        <f>IF(A86=1,$B$5,F85)</f>
        <v/>
      </c>
      <c r="F86" s="14">
        <f>IF(A86&lt;=$B$9*12,E86*(1+$B$8)^(1/12)+C86,0)</f>
        <v/>
      </c>
      <c r="G86" s="14">
        <f>IF(A86&lt;=$B$9*12,F86*$B$7,0)</f>
        <v/>
      </c>
      <c r="H86" s="14">
        <f>IF(A86=1,G86,H85+G86)</f>
        <v/>
      </c>
    </row>
    <row r="87">
      <c r="A87" s="13" t="n">
        <v>68</v>
      </c>
      <c r="B87" s="13">
        <f>ROUND(A87/12,0)</f>
        <v/>
      </c>
      <c r="C87" s="14">
        <f>IF(A87&lt;=$B$9*12,$B$6,0)</f>
        <v/>
      </c>
      <c r="D87" s="14">
        <f>IF(A87=1,$B$5+C87,D86+C87)</f>
        <v/>
      </c>
      <c r="E87" s="14">
        <f>IF(A87=1,$B$5,F86)</f>
        <v/>
      </c>
      <c r="F87" s="14">
        <f>IF(A87&lt;=$B$9*12,E87*(1+$B$8)^(1/12)+C87,0)</f>
        <v/>
      </c>
      <c r="G87" s="14">
        <f>IF(A87&lt;=$B$9*12,F87*$B$7,0)</f>
        <v/>
      </c>
      <c r="H87" s="14">
        <f>IF(A87=1,G87,H86+G87)</f>
        <v/>
      </c>
    </row>
    <row r="88">
      <c r="A88" s="13" t="n">
        <v>69</v>
      </c>
      <c r="B88" s="13">
        <f>ROUND(A88/12,0)</f>
        <v/>
      </c>
      <c r="C88" s="14">
        <f>IF(A88&lt;=$B$9*12,$B$6,0)</f>
        <v/>
      </c>
      <c r="D88" s="14">
        <f>IF(A88=1,$B$5+C88,D87+C88)</f>
        <v/>
      </c>
      <c r="E88" s="14">
        <f>IF(A88=1,$B$5,F87)</f>
        <v/>
      </c>
      <c r="F88" s="14">
        <f>IF(A88&lt;=$B$9*12,E88*(1+$B$8)^(1/12)+C88,0)</f>
        <v/>
      </c>
      <c r="G88" s="14">
        <f>IF(A88&lt;=$B$9*12,F88*$B$7,0)</f>
        <v/>
      </c>
      <c r="H88" s="14">
        <f>IF(A88=1,G88,H87+G88)</f>
        <v/>
      </c>
    </row>
    <row r="89">
      <c r="A89" s="13" t="n">
        <v>70</v>
      </c>
      <c r="B89" s="13">
        <f>ROUND(A89/12,0)</f>
        <v/>
      </c>
      <c r="C89" s="14">
        <f>IF(A89&lt;=$B$9*12,$B$6,0)</f>
        <v/>
      </c>
      <c r="D89" s="14">
        <f>IF(A89=1,$B$5+C89,D88+C89)</f>
        <v/>
      </c>
      <c r="E89" s="14">
        <f>IF(A89=1,$B$5,F88)</f>
        <v/>
      </c>
      <c r="F89" s="14">
        <f>IF(A89&lt;=$B$9*12,E89*(1+$B$8)^(1/12)+C89,0)</f>
        <v/>
      </c>
      <c r="G89" s="14">
        <f>IF(A89&lt;=$B$9*12,F89*$B$7,0)</f>
        <v/>
      </c>
      <c r="H89" s="14">
        <f>IF(A89=1,G89,H88+G89)</f>
        <v/>
      </c>
    </row>
    <row r="90">
      <c r="A90" s="13" t="n">
        <v>71</v>
      </c>
      <c r="B90" s="13">
        <f>ROUND(A90/12,0)</f>
        <v/>
      </c>
      <c r="C90" s="14">
        <f>IF(A90&lt;=$B$9*12,$B$6,0)</f>
        <v/>
      </c>
      <c r="D90" s="14">
        <f>IF(A90=1,$B$5+C90,D89+C90)</f>
        <v/>
      </c>
      <c r="E90" s="14">
        <f>IF(A90=1,$B$5,F89)</f>
        <v/>
      </c>
      <c r="F90" s="14">
        <f>IF(A90&lt;=$B$9*12,E90*(1+$B$8)^(1/12)+C90,0)</f>
        <v/>
      </c>
      <c r="G90" s="14">
        <f>IF(A90&lt;=$B$9*12,F90*$B$7,0)</f>
        <v/>
      </c>
      <c r="H90" s="14">
        <f>IF(A90=1,G90,H89+G90)</f>
        <v/>
      </c>
    </row>
    <row r="91">
      <c r="A91" s="13" t="n">
        <v>72</v>
      </c>
      <c r="B91" s="13">
        <f>ROUND(A91/12,0)</f>
        <v/>
      </c>
      <c r="C91" s="14">
        <f>IF(A91&lt;=$B$9*12,$B$6,0)</f>
        <v/>
      </c>
      <c r="D91" s="14">
        <f>IF(A91=1,$B$5+C91,D90+C91)</f>
        <v/>
      </c>
      <c r="E91" s="14">
        <f>IF(A91=1,$B$5,F90)</f>
        <v/>
      </c>
      <c r="F91" s="14">
        <f>IF(A91&lt;=$B$9*12,E91*(1+$B$8)^(1/12)+C91,0)</f>
        <v/>
      </c>
      <c r="G91" s="14">
        <f>IF(A91&lt;=$B$9*12,F91*$B$7,0)</f>
        <v/>
      </c>
      <c r="H91" s="14">
        <f>IF(A91=1,G91,H90+G91)</f>
        <v/>
      </c>
    </row>
    <row r="92">
      <c r="A92" s="13" t="n">
        <v>73</v>
      </c>
      <c r="B92" s="13">
        <f>ROUND(A92/12,0)</f>
        <v/>
      </c>
      <c r="C92" s="14">
        <f>IF(A92&lt;=$B$9*12,$B$6,0)</f>
        <v/>
      </c>
      <c r="D92" s="14">
        <f>IF(A92=1,$B$5+C92,D91+C92)</f>
        <v/>
      </c>
      <c r="E92" s="14">
        <f>IF(A92=1,$B$5,F91)</f>
        <v/>
      </c>
      <c r="F92" s="14">
        <f>IF(A92&lt;=$B$9*12,E92*(1+$B$8)^(1/12)+C92,0)</f>
        <v/>
      </c>
      <c r="G92" s="14">
        <f>IF(A92&lt;=$B$9*12,F92*$B$7,0)</f>
        <v/>
      </c>
      <c r="H92" s="14">
        <f>IF(A92=1,G92,H91+G92)</f>
        <v/>
      </c>
    </row>
    <row r="93">
      <c r="A93" s="13" t="n">
        <v>74</v>
      </c>
      <c r="B93" s="13">
        <f>ROUND(A93/12,0)</f>
        <v/>
      </c>
      <c r="C93" s="14">
        <f>IF(A93&lt;=$B$9*12,$B$6,0)</f>
        <v/>
      </c>
      <c r="D93" s="14">
        <f>IF(A93=1,$B$5+C93,D92+C93)</f>
        <v/>
      </c>
      <c r="E93" s="14">
        <f>IF(A93=1,$B$5,F92)</f>
        <v/>
      </c>
      <c r="F93" s="14">
        <f>IF(A93&lt;=$B$9*12,E93*(1+$B$8)^(1/12)+C93,0)</f>
        <v/>
      </c>
      <c r="G93" s="14">
        <f>IF(A93&lt;=$B$9*12,F93*$B$7,0)</f>
        <v/>
      </c>
      <c r="H93" s="14">
        <f>IF(A93=1,G93,H92+G93)</f>
        <v/>
      </c>
    </row>
    <row r="94">
      <c r="A94" s="13" t="n">
        <v>75</v>
      </c>
      <c r="B94" s="13">
        <f>ROUND(A94/12,0)</f>
        <v/>
      </c>
      <c r="C94" s="14">
        <f>IF(A94&lt;=$B$9*12,$B$6,0)</f>
        <v/>
      </c>
      <c r="D94" s="14">
        <f>IF(A94=1,$B$5+C94,D93+C94)</f>
        <v/>
      </c>
      <c r="E94" s="14">
        <f>IF(A94=1,$B$5,F93)</f>
        <v/>
      </c>
      <c r="F94" s="14">
        <f>IF(A94&lt;=$B$9*12,E94*(1+$B$8)^(1/12)+C94,0)</f>
        <v/>
      </c>
      <c r="G94" s="14">
        <f>IF(A94&lt;=$B$9*12,F94*$B$7,0)</f>
        <v/>
      </c>
      <c r="H94" s="14">
        <f>IF(A94=1,G94,H93+G94)</f>
        <v/>
      </c>
    </row>
    <row r="95">
      <c r="A95" s="13" t="n">
        <v>76</v>
      </c>
      <c r="B95" s="13">
        <f>ROUND(A95/12,0)</f>
        <v/>
      </c>
      <c r="C95" s="14">
        <f>IF(A95&lt;=$B$9*12,$B$6,0)</f>
        <v/>
      </c>
      <c r="D95" s="14">
        <f>IF(A95=1,$B$5+C95,D94+C95)</f>
        <v/>
      </c>
      <c r="E95" s="14">
        <f>IF(A95=1,$B$5,F94)</f>
        <v/>
      </c>
      <c r="F95" s="14">
        <f>IF(A95&lt;=$B$9*12,E95*(1+$B$8)^(1/12)+C95,0)</f>
        <v/>
      </c>
      <c r="G95" s="14">
        <f>IF(A95&lt;=$B$9*12,F95*$B$7,0)</f>
        <v/>
      </c>
      <c r="H95" s="14">
        <f>IF(A95=1,G95,H94+G95)</f>
        <v/>
      </c>
    </row>
    <row r="96">
      <c r="A96" s="13" t="n">
        <v>77</v>
      </c>
      <c r="B96" s="13">
        <f>ROUND(A96/12,0)</f>
        <v/>
      </c>
      <c r="C96" s="14">
        <f>IF(A96&lt;=$B$9*12,$B$6,0)</f>
        <v/>
      </c>
      <c r="D96" s="14">
        <f>IF(A96=1,$B$5+C96,D95+C96)</f>
        <v/>
      </c>
      <c r="E96" s="14">
        <f>IF(A96=1,$B$5,F95)</f>
        <v/>
      </c>
      <c r="F96" s="14">
        <f>IF(A96&lt;=$B$9*12,E96*(1+$B$8)^(1/12)+C96,0)</f>
        <v/>
      </c>
      <c r="G96" s="14">
        <f>IF(A96&lt;=$B$9*12,F96*$B$7,0)</f>
        <v/>
      </c>
      <c r="H96" s="14">
        <f>IF(A96=1,G96,H95+G96)</f>
        <v/>
      </c>
    </row>
    <row r="97">
      <c r="A97" s="13" t="n">
        <v>78</v>
      </c>
      <c r="B97" s="13">
        <f>ROUND(A97/12,0)</f>
        <v/>
      </c>
      <c r="C97" s="14">
        <f>IF(A97&lt;=$B$9*12,$B$6,0)</f>
        <v/>
      </c>
      <c r="D97" s="14">
        <f>IF(A97=1,$B$5+C97,D96+C97)</f>
        <v/>
      </c>
      <c r="E97" s="14">
        <f>IF(A97=1,$B$5,F96)</f>
        <v/>
      </c>
      <c r="F97" s="14">
        <f>IF(A97&lt;=$B$9*12,E97*(1+$B$8)^(1/12)+C97,0)</f>
        <v/>
      </c>
      <c r="G97" s="14">
        <f>IF(A97&lt;=$B$9*12,F97*$B$7,0)</f>
        <v/>
      </c>
      <c r="H97" s="14">
        <f>IF(A97=1,G97,H96+G97)</f>
        <v/>
      </c>
    </row>
    <row r="98">
      <c r="A98" s="13" t="n">
        <v>79</v>
      </c>
      <c r="B98" s="13">
        <f>ROUND(A98/12,0)</f>
        <v/>
      </c>
      <c r="C98" s="14">
        <f>IF(A98&lt;=$B$9*12,$B$6,0)</f>
        <v/>
      </c>
      <c r="D98" s="14">
        <f>IF(A98=1,$B$5+C98,D97+C98)</f>
        <v/>
      </c>
      <c r="E98" s="14">
        <f>IF(A98=1,$B$5,F97)</f>
        <v/>
      </c>
      <c r="F98" s="14">
        <f>IF(A98&lt;=$B$9*12,E98*(1+$B$8)^(1/12)+C98,0)</f>
        <v/>
      </c>
      <c r="G98" s="14">
        <f>IF(A98&lt;=$B$9*12,F98*$B$7,0)</f>
        <v/>
      </c>
      <c r="H98" s="14">
        <f>IF(A98=1,G98,H97+G98)</f>
        <v/>
      </c>
    </row>
    <row r="99">
      <c r="A99" s="13" t="n">
        <v>80</v>
      </c>
      <c r="B99" s="13">
        <f>ROUND(A99/12,0)</f>
        <v/>
      </c>
      <c r="C99" s="14">
        <f>IF(A99&lt;=$B$9*12,$B$6,0)</f>
        <v/>
      </c>
      <c r="D99" s="14">
        <f>IF(A99=1,$B$5+C99,D98+C99)</f>
        <v/>
      </c>
      <c r="E99" s="14">
        <f>IF(A99=1,$B$5,F98)</f>
        <v/>
      </c>
      <c r="F99" s="14">
        <f>IF(A99&lt;=$B$9*12,E99*(1+$B$8)^(1/12)+C99,0)</f>
        <v/>
      </c>
      <c r="G99" s="14">
        <f>IF(A99&lt;=$B$9*12,F99*$B$7,0)</f>
        <v/>
      </c>
      <c r="H99" s="14">
        <f>IF(A99=1,G99,H98+G99)</f>
        <v/>
      </c>
    </row>
    <row r="100">
      <c r="A100" s="13" t="n">
        <v>81</v>
      </c>
      <c r="B100" s="13">
        <f>ROUND(A100/12,0)</f>
        <v/>
      </c>
      <c r="C100" s="14">
        <f>IF(A100&lt;=$B$9*12,$B$6,0)</f>
        <v/>
      </c>
      <c r="D100" s="14">
        <f>IF(A100=1,$B$5+C100,D99+C100)</f>
        <v/>
      </c>
      <c r="E100" s="14">
        <f>IF(A100=1,$B$5,F99)</f>
        <v/>
      </c>
      <c r="F100" s="14">
        <f>IF(A100&lt;=$B$9*12,E100*(1+$B$8)^(1/12)+C100,0)</f>
        <v/>
      </c>
      <c r="G100" s="14">
        <f>IF(A100&lt;=$B$9*12,F100*$B$7,0)</f>
        <v/>
      </c>
      <c r="H100" s="14">
        <f>IF(A100=1,G100,H99+G100)</f>
        <v/>
      </c>
    </row>
    <row r="101">
      <c r="A101" s="13" t="n">
        <v>82</v>
      </c>
      <c r="B101" s="13">
        <f>ROUND(A101/12,0)</f>
        <v/>
      </c>
      <c r="C101" s="14">
        <f>IF(A101&lt;=$B$9*12,$B$6,0)</f>
        <v/>
      </c>
      <c r="D101" s="14">
        <f>IF(A101=1,$B$5+C101,D100+C101)</f>
        <v/>
      </c>
      <c r="E101" s="14">
        <f>IF(A101=1,$B$5,F100)</f>
        <v/>
      </c>
      <c r="F101" s="14">
        <f>IF(A101&lt;=$B$9*12,E101*(1+$B$8)^(1/12)+C101,0)</f>
        <v/>
      </c>
      <c r="G101" s="14">
        <f>IF(A101&lt;=$B$9*12,F101*$B$7,0)</f>
        <v/>
      </c>
      <c r="H101" s="14">
        <f>IF(A101=1,G101,H100+G101)</f>
        <v/>
      </c>
    </row>
    <row r="102">
      <c r="A102" s="13" t="n">
        <v>83</v>
      </c>
      <c r="B102" s="13">
        <f>ROUND(A102/12,0)</f>
        <v/>
      </c>
      <c r="C102" s="14">
        <f>IF(A102&lt;=$B$9*12,$B$6,0)</f>
        <v/>
      </c>
      <c r="D102" s="14">
        <f>IF(A102=1,$B$5+C102,D101+C102)</f>
        <v/>
      </c>
      <c r="E102" s="14">
        <f>IF(A102=1,$B$5,F101)</f>
        <v/>
      </c>
      <c r="F102" s="14">
        <f>IF(A102&lt;=$B$9*12,E102*(1+$B$8)^(1/12)+C102,0)</f>
        <v/>
      </c>
      <c r="G102" s="14">
        <f>IF(A102&lt;=$B$9*12,F102*$B$7,0)</f>
        <v/>
      </c>
      <c r="H102" s="14">
        <f>IF(A102=1,G102,H101+G102)</f>
        <v/>
      </c>
    </row>
    <row r="103">
      <c r="A103" s="13" t="n">
        <v>84</v>
      </c>
      <c r="B103" s="13">
        <f>ROUND(A103/12,0)</f>
        <v/>
      </c>
      <c r="C103" s="14">
        <f>IF(A103&lt;=$B$9*12,$B$6,0)</f>
        <v/>
      </c>
      <c r="D103" s="14">
        <f>IF(A103=1,$B$5+C103,D102+C103)</f>
        <v/>
      </c>
      <c r="E103" s="14">
        <f>IF(A103=1,$B$5,F102)</f>
        <v/>
      </c>
      <c r="F103" s="14">
        <f>IF(A103&lt;=$B$9*12,E103*(1+$B$8)^(1/12)+C103,0)</f>
        <v/>
      </c>
      <c r="G103" s="14">
        <f>IF(A103&lt;=$B$9*12,F103*$B$7,0)</f>
        <v/>
      </c>
      <c r="H103" s="14">
        <f>IF(A103=1,G103,H102+G103)</f>
        <v/>
      </c>
    </row>
    <row r="104">
      <c r="A104" s="13" t="n">
        <v>85</v>
      </c>
      <c r="B104" s="13">
        <f>ROUND(A104/12,0)</f>
        <v/>
      </c>
      <c r="C104" s="14">
        <f>IF(A104&lt;=$B$9*12,$B$6,0)</f>
        <v/>
      </c>
      <c r="D104" s="14">
        <f>IF(A104=1,$B$5+C104,D103+C104)</f>
        <v/>
      </c>
      <c r="E104" s="14">
        <f>IF(A104=1,$B$5,F103)</f>
        <v/>
      </c>
      <c r="F104" s="14">
        <f>IF(A104&lt;=$B$9*12,E104*(1+$B$8)^(1/12)+C104,0)</f>
        <v/>
      </c>
      <c r="G104" s="14">
        <f>IF(A104&lt;=$B$9*12,F104*$B$7,0)</f>
        <v/>
      </c>
      <c r="H104" s="14">
        <f>IF(A104=1,G104,H103+G104)</f>
        <v/>
      </c>
    </row>
    <row r="105">
      <c r="A105" s="13" t="n">
        <v>86</v>
      </c>
      <c r="B105" s="13">
        <f>ROUND(A105/12,0)</f>
        <v/>
      </c>
      <c r="C105" s="14">
        <f>IF(A105&lt;=$B$9*12,$B$6,0)</f>
        <v/>
      </c>
      <c r="D105" s="14">
        <f>IF(A105=1,$B$5+C105,D104+C105)</f>
        <v/>
      </c>
      <c r="E105" s="14">
        <f>IF(A105=1,$B$5,F104)</f>
        <v/>
      </c>
      <c r="F105" s="14">
        <f>IF(A105&lt;=$B$9*12,E105*(1+$B$8)^(1/12)+C105,0)</f>
        <v/>
      </c>
      <c r="G105" s="14">
        <f>IF(A105&lt;=$B$9*12,F105*$B$7,0)</f>
        <v/>
      </c>
      <c r="H105" s="14">
        <f>IF(A105=1,G105,H104+G105)</f>
        <v/>
      </c>
    </row>
    <row r="106">
      <c r="A106" s="13" t="n">
        <v>87</v>
      </c>
      <c r="B106" s="13">
        <f>ROUND(A106/12,0)</f>
        <v/>
      </c>
      <c r="C106" s="14">
        <f>IF(A106&lt;=$B$9*12,$B$6,0)</f>
        <v/>
      </c>
      <c r="D106" s="14">
        <f>IF(A106=1,$B$5+C106,D105+C106)</f>
        <v/>
      </c>
      <c r="E106" s="14">
        <f>IF(A106=1,$B$5,F105)</f>
        <v/>
      </c>
      <c r="F106" s="14">
        <f>IF(A106&lt;=$B$9*12,E106*(1+$B$8)^(1/12)+C106,0)</f>
        <v/>
      </c>
      <c r="G106" s="14">
        <f>IF(A106&lt;=$B$9*12,F106*$B$7,0)</f>
        <v/>
      </c>
      <c r="H106" s="14">
        <f>IF(A106=1,G106,H105+G106)</f>
        <v/>
      </c>
    </row>
    <row r="107">
      <c r="A107" s="13" t="n">
        <v>88</v>
      </c>
      <c r="B107" s="13">
        <f>ROUND(A107/12,0)</f>
        <v/>
      </c>
      <c r="C107" s="14">
        <f>IF(A107&lt;=$B$9*12,$B$6,0)</f>
        <v/>
      </c>
      <c r="D107" s="14">
        <f>IF(A107=1,$B$5+C107,D106+C107)</f>
        <v/>
      </c>
      <c r="E107" s="14">
        <f>IF(A107=1,$B$5,F106)</f>
        <v/>
      </c>
      <c r="F107" s="14">
        <f>IF(A107&lt;=$B$9*12,E107*(1+$B$8)^(1/12)+C107,0)</f>
        <v/>
      </c>
      <c r="G107" s="14">
        <f>IF(A107&lt;=$B$9*12,F107*$B$7,0)</f>
        <v/>
      </c>
      <c r="H107" s="14">
        <f>IF(A107=1,G107,H106+G107)</f>
        <v/>
      </c>
    </row>
    <row r="108">
      <c r="A108" s="13" t="n">
        <v>89</v>
      </c>
      <c r="B108" s="13">
        <f>ROUND(A108/12,0)</f>
        <v/>
      </c>
      <c r="C108" s="14">
        <f>IF(A108&lt;=$B$9*12,$B$6,0)</f>
        <v/>
      </c>
      <c r="D108" s="14">
        <f>IF(A108=1,$B$5+C108,D107+C108)</f>
        <v/>
      </c>
      <c r="E108" s="14">
        <f>IF(A108=1,$B$5,F107)</f>
        <v/>
      </c>
      <c r="F108" s="14">
        <f>IF(A108&lt;=$B$9*12,E108*(1+$B$8)^(1/12)+C108,0)</f>
        <v/>
      </c>
      <c r="G108" s="14">
        <f>IF(A108&lt;=$B$9*12,F108*$B$7,0)</f>
        <v/>
      </c>
      <c r="H108" s="14">
        <f>IF(A108=1,G108,H107+G108)</f>
        <v/>
      </c>
    </row>
    <row r="109">
      <c r="A109" s="13" t="n">
        <v>90</v>
      </c>
      <c r="B109" s="13">
        <f>ROUND(A109/12,0)</f>
        <v/>
      </c>
      <c r="C109" s="14">
        <f>IF(A109&lt;=$B$9*12,$B$6,0)</f>
        <v/>
      </c>
      <c r="D109" s="14">
        <f>IF(A109=1,$B$5+C109,D108+C109)</f>
        <v/>
      </c>
      <c r="E109" s="14">
        <f>IF(A109=1,$B$5,F108)</f>
        <v/>
      </c>
      <c r="F109" s="14">
        <f>IF(A109&lt;=$B$9*12,E109*(1+$B$8)^(1/12)+C109,0)</f>
        <v/>
      </c>
      <c r="G109" s="14">
        <f>IF(A109&lt;=$B$9*12,F109*$B$7,0)</f>
        <v/>
      </c>
      <c r="H109" s="14">
        <f>IF(A109=1,G109,H108+G109)</f>
        <v/>
      </c>
    </row>
    <row r="110">
      <c r="A110" s="13" t="n">
        <v>91</v>
      </c>
      <c r="B110" s="13">
        <f>ROUND(A110/12,0)</f>
        <v/>
      </c>
      <c r="C110" s="14">
        <f>IF(A110&lt;=$B$9*12,$B$6,0)</f>
        <v/>
      </c>
      <c r="D110" s="14">
        <f>IF(A110=1,$B$5+C110,D109+C110)</f>
        <v/>
      </c>
      <c r="E110" s="14">
        <f>IF(A110=1,$B$5,F109)</f>
        <v/>
      </c>
      <c r="F110" s="14">
        <f>IF(A110&lt;=$B$9*12,E110*(1+$B$8)^(1/12)+C110,0)</f>
        <v/>
      </c>
      <c r="G110" s="14">
        <f>IF(A110&lt;=$B$9*12,F110*$B$7,0)</f>
        <v/>
      </c>
      <c r="H110" s="14">
        <f>IF(A110=1,G110,H109+G110)</f>
        <v/>
      </c>
    </row>
    <row r="111">
      <c r="A111" s="13" t="n">
        <v>92</v>
      </c>
      <c r="B111" s="13">
        <f>ROUND(A111/12,0)</f>
        <v/>
      </c>
      <c r="C111" s="14">
        <f>IF(A111&lt;=$B$9*12,$B$6,0)</f>
        <v/>
      </c>
      <c r="D111" s="14">
        <f>IF(A111=1,$B$5+C111,D110+C111)</f>
        <v/>
      </c>
      <c r="E111" s="14">
        <f>IF(A111=1,$B$5,F110)</f>
        <v/>
      </c>
      <c r="F111" s="14">
        <f>IF(A111&lt;=$B$9*12,E111*(1+$B$8)^(1/12)+C111,0)</f>
        <v/>
      </c>
      <c r="G111" s="14">
        <f>IF(A111&lt;=$B$9*12,F111*$B$7,0)</f>
        <v/>
      </c>
      <c r="H111" s="14">
        <f>IF(A111=1,G111,H110+G111)</f>
        <v/>
      </c>
    </row>
    <row r="112">
      <c r="A112" s="13" t="n">
        <v>93</v>
      </c>
      <c r="B112" s="13">
        <f>ROUND(A112/12,0)</f>
        <v/>
      </c>
      <c r="C112" s="14">
        <f>IF(A112&lt;=$B$9*12,$B$6,0)</f>
        <v/>
      </c>
      <c r="D112" s="14">
        <f>IF(A112=1,$B$5+C112,D111+C112)</f>
        <v/>
      </c>
      <c r="E112" s="14">
        <f>IF(A112=1,$B$5,F111)</f>
        <v/>
      </c>
      <c r="F112" s="14">
        <f>IF(A112&lt;=$B$9*12,E112*(1+$B$8)^(1/12)+C112,0)</f>
        <v/>
      </c>
      <c r="G112" s="14">
        <f>IF(A112&lt;=$B$9*12,F112*$B$7,0)</f>
        <v/>
      </c>
      <c r="H112" s="14">
        <f>IF(A112=1,G112,H111+G112)</f>
        <v/>
      </c>
    </row>
    <row r="113">
      <c r="A113" s="13" t="n">
        <v>94</v>
      </c>
      <c r="B113" s="13">
        <f>ROUND(A113/12,0)</f>
        <v/>
      </c>
      <c r="C113" s="14">
        <f>IF(A113&lt;=$B$9*12,$B$6,0)</f>
        <v/>
      </c>
      <c r="D113" s="14">
        <f>IF(A113=1,$B$5+C113,D112+C113)</f>
        <v/>
      </c>
      <c r="E113" s="14">
        <f>IF(A113=1,$B$5,F112)</f>
        <v/>
      </c>
      <c r="F113" s="14">
        <f>IF(A113&lt;=$B$9*12,E113*(1+$B$8)^(1/12)+C113,0)</f>
        <v/>
      </c>
      <c r="G113" s="14">
        <f>IF(A113&lt;=$B$9*12,F113*$B$7,0)</f>
        <v/>
      </c>
      <c r="H113" s="14">
        <f>IF(A113=1,G113,H112+G113)</f>
        <v/>
      </c>
    </row>
    <row r="114">
      <c r="A114" s="13" t="n">
        <v>95</v>
      </c>
      <c r="B114" s="13">
        <f>ROUND(A114/12,0)</f>
        <v/>
      </c>
      <c r="C114" s="14">
        <f>IF(A114&lt;=$B$9*12,$B$6,0)</f>
        <v/>
      </c>
      <c r="D114" s="14">
        <f>IF(A114=1,$B$5+C114,D113+C114)</f>
        <v/>
      </c>
      <c r="E114" s="14">
        <f>IF(A114=1,$B$5,F113)</f>
        <v/>
      </c>
      <c r="F114" s="14">
        <f>IF(A114&lt;=$B$9*12,E114*(1+$B$8)^(1/12)+C114,0)</f>
        <v/>
      </c>
      <c r="G114" s="14">
        <f>IF(A114&lt;=$B$9*12,F114*$B$7,0)</f>
        <v/>
      </c>
      <c r="H114" s="14">
        <f>IF(A114=1,G114,H113+G114)</f>
        <v/>
      </c>
    </row>
    <row r="115">
      <c r="A115" s="13" t="n">
        <v>96</v>
      </c>
      <c r="B115" s="13">
        <f>ROUND(A115/12,0)</f>
        <v/>
      </c>
      <c r="C115" s="14">
        <f>IF(A115&lt;=$B$9*12,$B$6,0)</f>
        <v/>
      </c>
      <c r="D115" s="14">
        <f>IF(A115=1,$B$5+C115,D114+C115)</f>
        <v/>
      </c>
      <c r="E115" s="14">
        <f>IF(A115=1,$B$5,F114)</f>
        <v/>
      </c>
      <c r="F115" s="14">
        <f>IF(A115&lt;=$B$9*12,E115*(1+$B$8)^(1/12)+C115,0)</f>
        <v/>
      </c>
      <c r="G115" s="14">
        <f>IF(A115&lt;=$B$9*12,F115*$B$7,0)</f>
        <v/>
      </c>
      <c r="H115" s="14">
        <f>IF(A115=1,G115,H114+G115)</f>
        <v/>
      </c>
    </row>
    <row r="116">
      <c r="A116" s="13" t="n">
        <v>97</v>
      </c>
      <c r="B116" s="13">
        <f>ROUND(A116/12,0)</f>
        <v/>
      </c>
      <c r="C116" s="14">
        <f>IF(A116&lt;=$B$9*12,$B$6,0)</f>
        <v/>
      </c>
      <c r="D116" s="14">
        <f>IF(A116=1,$B$5+C116,D115+C116)</f>
        <v/>
      </c>
      <c r="E116" s="14">
        <f>IF(A116=1,$B$5,F115)</f>
        <v/>
      </c>
      <c r="F116" s="14">
        <f>IF(A116&lt;=$B$9*12,E116*(1+$B$8)^(1/12)+C116,0)</f>
        <v/>
      </c>
      <c r="G116" s="14">
        <f>IF(A116&lt;=$B$9*12,F116*$B$7,0)</f>
        <v/>
      </c>
      <c r="H116" s="14">
        <f>IF(A116=1,G116,H115+G116)</f>
        <v/>
      </c>
    </row>
    <row r="117">
      <c r="A117" s="13" t="n">
        <v>98</v>
      </c>
      <c r="B117" s="13">
        <f>ROUND(A117/12,0)</f>
        <v/>
      </c>
      <c r="C117" s="14">
        <f>IF(A117&lt;=$B$9*12,$B$6,0)</f>
        <v/>
      </c>
      <c r="D117" s="14">
        <f>IF(A117=1,$B$5+C117,D116+C117)</f>
        <v/>
      </c>
      <c r="E117" s="14">
        <f>IF(A117=1,$B$5,F116)</f>
        <v/>
      </c>
      <c r="F117" s="14">
        <f>IF(A117&lt;=$B$9*12,E117*(1+$B$8)^(1/12)+C117,0)</f>
        <v/>
      </c>
      <c r="G117" s="14">
        <f>IF(A117&lt;=$B$9*12,F117*$B$7,0)</f>
        <v/>
      </c>
      <c r="H117" s="14">
        <f>IF(A117=1,G117,H116+G117)</f>
        <v/>
      </c>
    </row>
    <row r="118">
      <c r="A118" s="13" t="n">
        <v>99</v>
      </c>
      <c r="B118" s="13">
        <f>ROUND(A118/12,0)</f>
        <v/>
      </c>
      <c r="C118" s="14">
        <f>IF(A118&lt;=$B$9*12,$B$6,0)</f>
        <v/>
      </c>
      <c r="D118" s="14">
        <f>IF(A118=1,$B$5+C118,D117+C118)</f>
        <v/>
      </c>
      <c r="E118" s="14">
        <f>IF(A118=1,$B$5,F117)</f>
        <v/>
      </c>
      <c r="F118" s="14">
        <f>IF(A118&lt;=$B$9*12,E118*(1+$B$8)^(1/12)+C118,0)</f>
        <v/>
      </c>
      <c r="G118" s="14">
        <f>IF(A118&lt;=$B$9*12,F118*$B$7,0)</f>
        <v/>
      </c>
      <c r="H118" s="14">
        <f>IF(A118=1,G118,H117+G118)</f>
        <v/>
      </c>
    </row>
    <row r="119">
      <c r="A119" s="13" t="n">
        <v>100</v>
      </c>
      <c r="B119" s="13">
        <f>ROUND(A119/12,0)</f>
        <v/>
      </c>
      <c r="C119" s="14">
        <f>IF(A119&lt;=$B$9*12,$B$6,0)</f>
        <v/>
      </c>
      <c r="D119" s="14">
        <f>IF(A119=1,$B$5+C119,D118+C119)</f>
        <v/>
      </c>
      <c r="E119" s="14">
        <f>IF(A119=1,$B$5,F118)</f>
        <v/>
      </c>
      <c r="F119" s="14">
        <f>IF(A119&lt;=$B$9*12,E119*(1+$B$8)^(1/12)+C119,0)</f>
        <v/>
      </c>
      <c r="G119" s="14">
        <f>IF(A119&lt;=$B$9*12,F119*$B$7,0)</f>
        <v/>
      </c>
      <c r="H119" s="14">
        <f>IF(A119=1,G119,H118+G119)</f>
        <v/>
      </c>
    </row>
    <row r="120">
      <c r="A120" s="13" t="n">
        <v>101</v>
      </c>
      <c r="B120" s="13">
        <f>ROUND(A120/12,0)</f>
        <v/>
      </c>
      <c r="C120" s="14">
        <f>IF(A120&lt;=$B$9*12,$B$6,0)</f>
        <v/>
      </c>
      <c r="D120" s="14">
        <f>IF(A120=1,$B$5+C120,D119+C120)</f>
        <v/>
      </c>
      <c r="E120" s="14">
        <f>IF(A120=1,$B$5,F119)</f>
        <v/>
      </c>
      <c r="F120" s="14">
        <f>IF(A120&lt;=$B$9*12,E120*(1+$B$8)^(1/12)+C120,0)</f>
        <v/>
      </c>
      <c r="G120" s="14">
        <f>IF(A120&lt;=$B$9*12,F120*$B$7,0)</f>
        <v/>
      </c>
      <c r="H120" s="14">
        <f>IF(A120=1,G120,H119+G120)</f>
        <v/>
      </c>
    </row>
    <row r="121">
      <c r="A121" s="13" t="n">
        <v>102</v>
      </c>
      <c r="B121" s="13">
        <f>ROUND(A121/12,0)</f>
        <v/>
      </c>
      <c r="C121" s="14">
        <f>IF(A121&lt;=$B$9*12,$B$6,0)</f>
        <v/>
      </c>
      <c r="D121" s="14">
        <f>IF(A121=1,$B$5+C121,D120+C121)</f>
        <v/>
      </c>
      <c r="E121" s="14">
        <f>IF(A121=1,$B$5,F120)</f>
        <v/>
      </c>
      <c r="F121" s="14">
        <f>IF(A121&lt;=$B$9*12,E121*(1+$B$8)^(1/12)+C121,0)</f>
        <v/>
      </c>
      <c r="G121" s="14">
        <f>IF(A121&lt;=$B$9*12,F121*$B$7,0)</f>
        <v/>
      </c>
      <c r="H121" s="14">
        <f>IF(A121=1,G121,H120+G121)</f>
        <v/>
      </c>
    </row>
    <row r="122">
      <c r="A122" s="13" t="n">
        <v>103</v>
      </c>
      <c r="B122" s="13">
        <f>ROUND(A122/12,0)</f>
        <v/>
      </c>
      <c r="C122" s="14">
        <f>IF(A122&lt;=$B$9*12,$B$6,0)</f>
        <v/>
      </c>
      <c r="D122" s="14">
        <f>IF(A122=1,$B$5+C122,D121+C122)</f>
        <v/>
      </c>
      <c r="E122" s="14">
        <f>IF(A122=1,$B$5,F121)</f>
        <v/>
      </c>
      <c r="F122" s="14">
        <f>IF(A122&lt;=$B$9*12,E122*(1+$B$8)^(1/12)+C122,0)</f>
        <v/>
      </c>
      <c r="G122" s="14">
        <f>IF(A122&lt;=$B$9*12,F122*$B$7,0)</f>
        <v/>
      </c>
      <c r="H122" s="14">
        <f>IF(A122=1,G122,H121+G122)</f>
        <v/>
      </c>
    </row>
    <row r="123">
      <c r="A123" s="13" t="n">
        <v>104</v>
      </c>
      <c r="B123" s="13">
        <f>ROUND(A123/12,0)</f>
        <v/>
      </c>
      <c r="C123" s="14">
        <f>IF(A123&lt;=$B$9*12,$B$6,0)</f>
        <v/>
      </c>
      <c r="D123" s="14">
        <f>IF(A123=1,$B$5+C123,D122+C123)</f>
        <v/>
      </c>
      <c r="E123" s="14">
        <f>IF(A123=1,$B$5,F122)</f>
        <v/>
      </c>
      <c r="F123" s="14">
        <f>IF(A123&lt;=$B$9*12,E123*(1+$B$8)^(1/12)+C123,0)</f>
        <v/>
      </c>
      <c r="G123" s="14">
        <f>IF(A123&lt;=$B$9*12,F123*$B$7,0)</f>
        <v/>
      </c>
      <c r="H123" s="14">
        <f>IF(A123=1,G123,H122+G123)</f>
        <v/>
      </c>
    </row>
    <row r="124">
      <c r="A124" s="13" t="n">
        <v>105</v>
      </c>
      <c r="B124" s="13">
        <f>ROUND(A124/12,0)</f>
        <v/>
      </c>
      <c r="C124" s="14">
        <f>IF(A124&lt;=$B$9*12,$B$6,0)</f>
        <v/>
      </c>
      <c r="D124" s="14">
        <f>IF(A124=1,$B$5+C124,D123+C124)</f>
        <v/>
      </c>
      <c r="E124" s="14">
        <f>IF(A124=1,$B$5,F123)</f>
        <v/>
      </c>
      <c r="F124" s="14">
        <f>IF(A124&lt;=$B$9*12,E124*(1+$B$8)^(1/12)+C124,0)</f>
        <v/>
      </c>
      <c r="G124" s="14">
        <f>IF(A124&lt;=$B$9*12,F124*$B$7,0)</f>
        <v/>
      </c>
      <c r="H124" s="14">
        <f>IF(A124=1,G124,H123+G124)</f>
        <v/>
      </c>
    </row>
    <row r="125">
      <c r="A125" s="13" t="n">
        <v>106</v>
      </c>
      <c r="B125" s="13">
        <f>ROUND(A125/12,0)</f>
        <v/>
      </c>
      <c r="C125" s="14">
        <f>IF(A125&lt;=$B$9*12,$B$6,0)</f>
        <v/>
      </c>
      <c r="D125" s="14">
        <f>IF(A125=1,$B$5+C125,D124+C125)</f>
        <v/>
      </c>
      <c r="E125" s="14">
        <f>IF(A125=1,$B$5,F124)</f>
        <v/>
      </c>
      <c r="F125" s="14">
        <f>IF(A125&lt;=$B$9*12,E125*(1+$B$8)^(1/12)+C125,0)</f>
        <v/>
      </c>
      <c r="G125" s="14">
        <f>IF(A125&lt;=$B$9*12,F125*$B$7,0)</f>
        <v/>
      </c>
      <c r="H125" s="14">
        <f>IF(A125=1,G125,H124+G125)</f>
        <v/>
      </c>
    </row>
    <row r="126">
      <c r="A126" s="13" t="n">
        <v>107</v>
      </c>
      <c r="B126" s="13">
        <f>ROUND(A126/12,0)</f>
        <v/>
      </c>
      <c r="C126" s="14">
        <f>IF(A126&lt;=$B$9*12,$B$6,0)</f>
        <v/>
      </c>
      <c r="D126" s="14">
        <f>IF(A126=1,$B$5+C126,D125+C126)</f>
        <v/>
      </c>
      <c r="E126" s="14">
        <f>IF(A126=1,$B$5,F125)</f>
        <v/>
      </c>
      <c r="F126" s="14">
        <f>IF(A126&lt;=$B$9*12,E126*(1+$B$8)^(1/12)+C126,0)</f>
        <v/>
      </c>
      <c r="G126" s="14">
        <f>IF(A126&lt;=$B$9*12,F126*$B$7,0)</f>
        <v/>
      </c>
      <c r="H126" s="14">
        <f>IF(A126=1,G126,H125+G126)</f>
        <v/>
      </c>
    </row>
    <row r="127">
      <c r="A127" s="13" t="n">
        <v>108</v>
      </c>
      <c r="B127" s="13">
        <f>ROUND(A127/12,0)</f>
        <v/>
      </c>
      <c r="C127" s="14">
        <f>IF(A127&lt;=$B$9*12,$B$6,0)</f>
        <v/>
      </c>
      <c r="D127" s="14">
        <f>IF(A127=1,$B$5+C127,D126+C127)</f>
        <v/>
      </c>
      <c r="E127" s="14">
        <f>IF(A127=1,$B$5,F126)</f>
        <v/>
      </c>
      <c r="F127" s="14">
        <f>IF(A127&lt;=$B$9*12,E127*(1+$B$8)^(1/12)+C127,0)</f>
        <v/>
      </c>
      <c r="G127" s="14">
        <f>IF(A127&lt;=$B$9*12,F127*$B$7,0)</f>
        <v/>
      </c>
      <c r="H127" s="14">
        <f>IF(A127=1,G127,H126+G127)</f>
        <v/>
      </c>
    </row>
    <row r="128">
      <c r="A128" s="13" t="n">
        <v>109</v>
      </c>
      <c r="B128" s="13">
        <f>ROUND(A128/12,0)</f>
        <v/>
      </c>
      <c r="C128" s="14">
        <f>IF(A128&lt;=$B$9*12,$B$6,0)</f>
        <v/>
      </c>
      <c r="D128" s="14">
        <f>IF(A128=1,$B$5+C128,D127+C128)</f>
        <v/>
      </c>
      <c r="E128" s="14">
        <f>IF(A128=1,$B$5,F127)</f>
        <v/>
      </c>
      <c r="F128" s="14">
        <f>IF(A128&lt;=$B$9*12,E128*(1+$B$8)^(1/12)+C128,0)</f>
        <v/>
      </c>
      <c r="G128" s="14">
        <f>IF(A128&lt;=$B$9*12,F128*$B$7,0)</f>
        <v/>
      </c>
      <c r="H128" s="14">
        <f>IF(A128=1,G128,H127+G128)</f>
        <v/>
      </c>
    </row>
    <row r="129">
      <c r="A129" s="13" t="n">
        <v>110</v>
      </c>
      <c r="B129" s="13">
        <f>ROUND(A129/12,0)</f>
        <v/>
      </c>
      <c r="C129" s="14">
        <f>IF(A129&lt;=$B$9*12,$B$6,0)</f>
        <v/>
      </c>
      <c r="D129" s="14">
        <f>IF(A129=1,$B$5+C129,D128+C129)</f>
        <v/>
      </c>
      <c r="E129" s="14">
        <f>IF(A129=1,$B$5,F128)</f>
        <v/>
      </c>
      <c r="F129" s="14">
        <f>IF(A129&lt;=$B$9*12,E129*(1+$B$8)^(1/12)+C129,0)</f>
        <v/>
      </c>
      <c r="G129" s="14">
        <f>IF(A129&lt;=$B$9*12,F129*$B$7,0)</f>
        <v/>
      </c>
      <c r="H129" s="14">
        <f>IF(A129=1,G129,H128+G129)</f>
        <v/>
      </c>
    </row>
    <row r="130">
      <c r="A130" s="13" t="n">
        <v>111</v>
      </c>
      <c r="B130" s="13">
        <f>ROUND(A130/12,0)</f>
        <v/>
      </c>
      <c r="C130" s="14">
        <f>IF(A130&lt;=$B$9*12,$B$6,0)</f>
        <v/>
      </c>
      <c r="D130" s="14">
        <f>IF(A130=1,$B$5+C130,D129+C130)</f>
        <v/>
      </c>
      <c r="E130" s="14">
        <f>IF(A130=1,$B$5,F129)</f>
        <v/>
      </c>
      <c r="F130" s="14">
        <f>IF(A130&lt;=$B$9*12,E130*(1+$B$8)^(1/12)+C130,0)</f>
        <v/>
      </c>
      <c r="G130" s="14">
        <f>IF(A130&lt;=$B$9*12,F130*$B$7,0)</f>
        <v/>
      </c>
      <c r="H130" s="14">
        <f>IF(A130=1,G130,H129+G130)</f>
        <v/>
      </c>
    </row>
    <row r="131">
      <c r="A131" s="13" t="n">
        <v>112</v>
      </c>
      <c r="B131" s="13">
        <f>ROUND(A131/12,0)</f>
        <v/>
      </c>
      <c r="C131" s="14">
        <f>IF(A131&lt;=$B$9*12,$B$6,0)</f>
        <v/>
      </c>
      <c r="D131" s="14">
        <f>IF(A131=1,$B$5+C131,D130+C131)</f>
        <v/>
      </c>
      <c r="E131" s="14">
        <f>IF(A131=1,$B$5,F130)</f>
        <v/>
      </c>
      <c r="F131" s="14">
        <f>IF(A131&lt;=$B$9*12,E131*(1+$B$8)^(1/12)+C131,0)</f>
        <v/>
      </c>
      <c r="G131" s="14">
        <f>IF(A131&lt;=$B$9*12,F131*$B$7,0)</f>
        <v/>
      </c>
      <c r="H131" s="14">
        <f>IF(A131=1,G131,H130+G131)</f>
        <v/>
      </c>
    </row>
    <row r="132">
      <c r="A132" s="13" t="n">
        <v>113</v>
      </c>
      <c r="B132" s="13">
        <f>ROUND(A132/12,0)</f>
        <v/>
      </c>
      <c r="C132" s="14">
        <f>IF(A132&lt;=$B$9*12,$B$6,0)</f>
        <v/>
      </c>
      <c r="D132" s="14">
        <f>IF(A132=1,$B$5+C132,D131+C132)</f>
        <v/>
      </c>
      <c r="E132" s="14">
        <f>IF(A132=1,$B$5,F131)</f>
        <v/>
      </c>
      <c r="F132" s="14">
        <f>IF(A132&lt;=$B$9*12,E132*(1+$B$8)^(1/12)+C132,0)</f>
        <v/>
      </c>
      <c r="G132" s="14">
        <f>IF(A132&lt;=$B$9*12,F132*$B$7,0)</f>
        <v/>
      </c>
      <c r="H132" s="14">
        <f>IF(A132=1,G132,H131+G132)</f>
        <v/>
      </c>
    </row>
    <row r="133">
      <c r="A133" s="13" t="n">
        <v>114</v>
      </c>
      <c r="B133" s="13">
        <f>ROUND(A133/12,0)</f>
        <v/>
      </c>
      <c r="C133" s="14">
        <f>IF(A133&lt;=$B$9*12,$B$6,0)</f>
        <v/>
      </c>
      <c r="D133" s="14">
        <f>IF(A133=1,$B$5+C133,D132+C133)</f>
        <v/>
      </c>
      <c r="E133" s="14">
        <f>IF(A133=1,$B$5,F132)</f>
        <v/>
      </c>
      <c r="F133" s="14">
        <f>IF(A133&lt;=$B$9*12,E133*(1+$B$8)^(1/12)+C133,0)</f>
        <v/>
      </c>
      <c r="G133" s="14">
        <f>IF(A133&lt;=$B$9*12,F133*$B$7,0)</f>
        <v/>
      </c>
      <c r="H133" s="14">
        <f>IF(A133=1,G133,H132+G133)</f>
        <v/>
      </c>
    </row>
    <row r="134">
      <c r="A134" s="13" t="n">
        <v>115</v>
      </c>
      <c r="B134" s="13">
        <f>ROUND(A134/12,0)</f>
        <v/>
      </c>
      <c r="C134" s="14">
        <f>IF(A134&lt;=$B$9*12,$B$6,0)</f>
        <v/>
      </c>
      <c r="D134" s="14">
        <f>IF(A134=1,$B$5+C134,D133+C134)</f>
        <v/>
      </c>
      <c r="E134" s="14">
        <f>IF(A134=1,$B$5,F133)</f>
        <v/>
      </c>
      <c r="F134" s="14">
        <f>IF(A134&lt;=$B$9*12,E134*(1+$B$8)^(1/12)+C134,0)</f>
        <v/>
      </c>
      <c r="G134" s="14">
        <f>IF(A134&lt;=$B$9*12,F134*$B$7,0)</f>
        <v/>
      </c>
      <c r="H134" s="14">
        <f>IF(A134=1,G134,H133+G134)</f>
        <v/>
      </c>
    </row>
    <row r="135">
      <c r="A135" s="13" t="n">
        <v>116</v>
      </c>
      <c r="B135" s="13">
        <f>ROUND(A135/12,0)</f>
        <v/>
      </c>
      <c r="C135" s="14">
        <f>IF(A135&lt;=$B$9*12,$B$6,0)</f>
        <v/>
      </c>
      <c r="D135" s="14">
        <f>IF(A135=1,$B$5+C135,D134+C135)</f>
        <v/>
      </c>
      <c r="E135" s="14">
        <f>IF(A135=1,$B$5,F134)</f>
        <v/>
      </c>
      <c r="F135" s="14">
        <f>IF(A135&lt;=$B$9*12,E135*(1+$B$8)^(1/12)+C135,0)</f>
        <v/>
      </c>
      <c r="G135" s="14">
        <f>IF(A135&lt;=$B$9*12,F135*$B$7,0)</f>
        <v/>
      </c>
      <c r="H135" s="14">
        <f>IF(A135=1,G135,H134+G135)</f>
        <v/>
      </c>
    </row>
    <row r="136">
      <c r="A136" s="13" t="n">
        <v>117</v>
      </c>
      <c r="B136" s="13">
        <f>ROUND(A136/12,0)</f>
        <v/>
      </c>
      <c r="C136" s="14">
        <f>IF(A136&lt;=$B$9*12,$B$6,0)</f>
        <v/>
      </c>
      <c r="D136" s="14">
        <f>IF(A136=1,$B$5+C136,D135+C136)</f>
        <v/>
      </c>
      <c r="E136" s="14">
        <f>IF(A136=1,$B$5,F135)</f>
        <v/>
      </c>
      <c r="F136" s="14">
        <f>IF(A136&lt;=$B$9*12,E136*(1+$B$8)^(1/12)+C136,0)</f>
        <v/>
      </c>
      <c r="G136" s="14">
        <f>IF(A136&lt;=$B$9*12,F136*$B$7,0)</f>
        <v/>
      </c>
      <c r="H136" s="14">
        <f>IF(A136=1,G136,H135+G136)</f>
        <v/>
      </c>
    </row>
    <row r="137">
      <c r="A137" s="13" t="n">
        <v>118</v>
      </c>
      <c r="B137" s="13">
        <f>ROUND(A137/12,0)</f>
        <v/>
      </c>
      <c r="C137" s="14">
        <f>IF(A137&lt;=$B$9*12,$B$6,0)</f>
        <v/>
      </c>
      <c r="D137" s="14">
        <f>IF(A137=1,$B$5+C137,D136+C137)</f>
        <v/>
      </c>
      <c r="E137" s="14">
        <f>IF(A137=1,$B$5,F136)</f>
        <v/>
      </c>
      <c r="F137" s="14">
        <f>IF(A137&lt;=$B$9*12,E137*(1+$B$8)^(1/12)+C137,0)</f>
        <v/>
      </c>
      <c r="G137" s="14">
        <f>IF(A137&lt;=$B$9*12,F137*$B$7,0)</f>
        <v/>
      </c>
      <c r="H137" s="14">
        <f>IF(A137=1,G137,H136+G137)</f>
        <v/>
      </c>
    </row>
    <row r="138">
      <c r="A138" s="13" t="n">
        <v>119</v>
      </c>
      <c r="B138" s="13">
        <f>ROUND(A138/12,0)</f>
        <v/>
      </c>
      <c r="C138" s="14">
        <f>IF(A138&lt;=$B$9*12,$B$6,0)</f>
        <v/>
      </c>
      <c r="D138" s="14">
        <f>IF(A138=1,$B$5+C138,D137+C138)</f>
        <v/>
      </c>
      <c r="E138" s="14">
        <f>IF(A138=1,$B$5,F137)</f>
        <v/>
      </c>
      <c r="F138" s="14">
        <f>IF(A138&lt;=$B$9*12,E138*(1+$B$8)^(1/12)+C138,0)</f>
        <v/>
      </c>
      <c r="G138" s="14">
        <f>IF(A138&lt;=$B$9*12,F138*$B$7,0)</f>
        <v/>
      </c>
      <c r="H138" s="14">
        <f>IF(A138=1,G138,H137+G138)</f>
        <v/>
      </c>
    </row>
    <row r="139">
      <c r="A139" s="13" t="n">
        <v>120</v>
      </c>
      <c r="B139" s="13">
        <f>ROUND(A139/12,0)</f>
        <v/>
      </c>
      <c r="C139" s="14">
        <f>IF(A139&lt;=$B$9*12,$B$6,0)</f>
        <v/>
      </c>
      <c r="D139" s="14">
        <f>IF(A139=1,$B$5+C139,D138+C139)</f>
        <v/>
      </c>
      <c r="E139" s="14">
        <f>IF(A139=1,$B$5,F138)</f>
        <v/>
      </c>
      <c r="F139" s="14">
        <f>IF(A139&lt;=$B$9*12,E139*(1+$B$8)^(1/12)+C139,0)</f>
        <v/>
      </c>
      <c r="G139" s="14">
        <f>IF(A139&lt;=$B$9*12,F139*$B$7,0)</f>
        <v/>
      </c>
      <c r="H139" s="14">
        <f>IF(A139=1,G139,H138+G139)</f>
        <v/>
      </c>
    </row>
  </sheetData>
  <mergeCells count="5">
    <mergeCell ref="A1:H1"/>
    <mergeCell ref="A4:D4"/>
    <mergeCell ref="A2:H2"/>
    <mergeCell ref="B16:H17"/>
    <mergeCell ref="A11:D11"/>
  </mergeCells>
  <dataValidations count="2">
    <dataValidation sqref="B5 B6 B7 B8" showDropDown="0" showInputMessage="0" showErrorMessage="0" allowBlank="0" type="decimal" operator="greaterThanOrEqual">
      <formula1>0</formula1>
    </dataValidation>
    <dataValidation sqref="B9" showDropDown="0" showInputMessage="0" showErrorMessage="0" allowBlank="0" type="whole" operator="between">
      <formula1>1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Resumo da Simulação</t>
        </is>
      </c>
    </row>
    <row r="3">
      <c r="A3" s="15" t="inlineStr">
        <is>
          <t>Ano</t>
        </is>
      </c>
      <c r="B3" s="15" t="inlineStr">
        <is>
          <t>Total investido</t>
        </is>
      </c>
      <c r="C3" s="15" t="inlineStr">
        <is>
          <t>Patrimônio</t>
        </is>
      </c>
      <c r="D3" s="15" t="inlineStr">
        <is>
          <t>Dividendos/mês</t>
        </is>
      </c>
      <c r="E3" s="15" t="inlineStr">
        <is>
          <t>Dividendos no ano</t>
        </is>
      </c>
      <c r="F3" s="15" t="inlineStr">
        <is>
          <t>Ganho patrimonial</t>
        </is>
      </c>
    </row>
    <row r="4">
      <c r="A4" s="13" t="n">
        <v>1</v>
      </c>
      <c r="B4" s="14">
        <f>Simulador!D31</f>
        <v/>
      </c>
      <c r="C4" s="14">
        <f>Simulador!F31</f>
        <v/>
      </c>
      <c r="D4" s="14">
        <f>Simulador!G31</f>
        <v/>
      </c>
      <c r="E4" s="14">
        <f>Simulador!H31-IF(1=1,0,Simulador!H19)</f>
        <v/>
      </c>
      <c r="F4" s="14">
        <f>C4-B4</f>
        <v/>
      </c>
    </row>
    <row r="5">
      <c r="A5" s="13" t="n">
        <v>2</v>
      </c>
      <c r="B5" s="14">
        <f>Simulador!D43</f>
        <v/>
      </c>
      <c r="C5" s="14">
        <f>Simulador!F43</f>
        <v/>
      </c>
      <c r="D5" s="14">
        <f>Simulador!G43</f>
        <v/>
      </c>
      <c r="E5" s="14">
        <f>Simulador!H43-IF(2=1,0,Simulador!H31)</f>
        <v/>
      </c>
      <c r="F5" s="14">
        <f>C5-B5</f>
        <v/>
      </c>
    </row>
    <row r="6">
      <c r="A6" s="13" t="n">
        <v>3</v>
      </c>
      <c r="B6" s="14">
        <f>Simulador!D55</f>
        <v/>
      </c>
      <c r="C6" s="14">
        <f>Simulador!F55</f>
        <v/>
      </c>
      <c r="D6" s="14">
        <f>Simulador!G55</f>
        <v/>
      </c>
      <c r="E6" s="14">
        <f>Simulador!H55-IF(3=1,0,Simulador!H43)</f>
        <v/>
      </c>
      <c r="F6" s="14">
        <f>C6-B6</f>
        <v/>
      </c>
    </row>
    <row r="7">
      <c r="A7" s="13" t="n">
        <v>4</v>
      </c>
      <c r="B7" s="14">
        <f>Simulador!D67</f>
        <v/>
      </c>
      <c r="C7" s="14">
        <f>Simulador!F67</f>
        <v/>
      </c>
      <c r="D7" s="14">
        <f>Simulador!G67</f>
        <v/>
      </c>
      <c r="E7" s="14">
        <f>Simulador!H67-IF(4=1,0,Simulador!H55)</f>
        <v/>
      </c>
      <c r="F7" s="14">
        <f>C7-B7</f>
        <v/>
      </c>
    </row>
    <row r="8">
      <c r="A8" s="13" t="n">
        <v>5</v>
      </c>
      <c r="B8" s="14">
        <f>Simulador!D79</f>
        <v/>
      </c>
      <c r="C8" s="14">
        <f>Simulador!F79</f>
        <v/>
      </c>
      <c r="D8" s="14">
        <f>Simulador!G79</f>
        <v/>
      </c>
      <c r="E8" s="14">
        <f>Simulador!H79-IF(5=1,0,Simulador!H67)</f>
        <v/>
      </c>
      <c r="F8" s="14">
        <f>C8-B8</f>
        <v/>
      </c>
    </row>
    <row r="9">
      <c r="A9" s="13" t="n">
        <v>6</v>
      </c>
      <c r="B9" s="14">
        <f>Simulador!D91</f>
        <v/>
      </c>
      <c r="C9" s="14">
        <f>Simulador!F91</f>
        <v/>
      </c>
      <c r="D9" s="14">
        <f>Simulador!G91</f>
        <v/>
      </c>
      <c r="E9" s="14">
        <f>Simulador!H91-IF(6=1,0,Simulador!H79)</f>
        <v/>
      </c>
      <c r="F9" s="14">
        <f>C9-B9</f>
        <v/>
      </c>
    </row>
    <row r="10">
      <c r="A10" s="13" t="n">
        <v>7</v>
      </c>
      <c r="B10" s="14">
        <f>Simulador!D103</f>
        <v/>
      </c>
      <c r="C10" s="14">
        <f>Simulador!F103</f>
        <v/>
      </c>
      <c r="D10" s="14">
        <f>Simulador!G103</f>
        <v/>
      </c>
      <c r="E10" s="14">
        <f>Simulador!H103-IF(7=1,0,Simulador!H91)</f>
        <v/>
      </c>
      <c r="F10" s="14">
        <f>C10-B10</f>
        <v/>
      </c>
    </row>
    <row r="11">
      <c r="A11" s="13" t="n">
        <v>8</v>
      </c>
      <c r="B11" s="14">
        <f>Simulador!D115</f>
        <v/>
      </c>
      <c r="C11" s="14">
        <f>Simulador!F115</f>
        <v/>
      </c>
      <c r="D11" s="14">
        <f>Simulador!G115</f>
        <v/>
      </c>
      <c r="E11" s="14">
        <f>Simulador!H115-IF(8=1,0,Simulador!H103)</f>
        <v/>
      </c>
      <c r="F11" s="14">
        <f>C11-B11</f>
        <v/>
      </c>
    </row>
    <row r="12">
      <c r="A12" s="13" t="n">
        <v>9</v>
      </c>
      <c r="B12" s="14">
        <f>Simulador!D127</f>
        <v/>
      </c>
      <c r="C12" s="14">
        <f>Simulador!F127</f>
        <v/>
      </c>
      <c r="D12" s="14">
        <f>Simulador!G127</f>
        <v/>
      </c>
      <c r="E12" s="14">
        <f>Simulador!H127-IF(9=1,0,Simulador!H115)</f>
        <v/>
      </c>
      <c r="F12" s="14">
        <f>C12-B12</f>
        <v/>
      </c>
    </row>
    <row r="13">
      <c r="A13" s="13" t="n">
        <v>10</v>
      </c>
      <c r="B13" s="14">
        <f>Simulador!D139</f>
        <v/>
      </c>
      <c r="C13" s="14">
        <f>Simulador!F139</f>
        <v/>
      </c>
      <c r="D13" s="14">
        <f>Simulador!G139</f>
        <v/>
      </c>
      <c r="E13" s="14">
        <f>Simulador!H139-IF(10=1,0,Simulador!H127)</f>
        <v/>
      </c>
      <c r="F13" s="14">
        <f>C13-B13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2026-09-21T16:17:48Z</dcterms:created>
  <dcterms:modified xmlns:dcterms="http://purl.org/dc/terms/" xmlns:xsi="http://www.w3.org/2001/XMLSchema-instance" xsi:type="dcterms:W3CDTF">2026-09-21T16:17:48Z</dcterms:modified>
</cp:coreProperties>
</file>